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daniellee/Documents/coding/private-credit-model/"/>
    </mc:Choice>
  </mc:AlternateContent>
  <xr:revisionPtr revIDLastSave="0" documentId="13_ncr:1_{ACB87D96-E1FB-8149-B539-E8F7FF50A761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Summary" sheetId="1" r:id="rId1"/>
    <sheet name="Assumptions" sheetId="2" r:id="rId2"/>
    <sheet name="SOFR Curve" sheetId="3" r:id="rId3"/>
    <sheet name="Debt Schedule" sheetId="4" r:id="rId4"/>
    <sheet name="Covenants" sheetId="5" r:id="rId5"/>
    <sheet name="Retur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C4" i="6"/>
  <c r="B4" i="6"/>
  <c r="K23" i="5"/>
  <c r="A23" i="5"/>
  <c r="F23" i="5" s="1"/>
  <c r="K22" i="5"/>
  <c r="F22" i="5"/>
  <c r="C22" i="5"/>
  <c r="A22" i="5"/>
  <c r="K21" i="5"/>
  <c r="C21" i="5"/>
  <c r="A21" i="5"/>
  <c r="F21" i="5" s="1"/>
  <c r="K20" i="5"/>
  <c r="F20" i="5"/>
  <c r="C20" i="5"/>
  <c r="A20" i="5"/>
  <c r="K19" i="5"/>
  <c r="C19" i="5"/>
  <c r="A19" i="5"/>
  <c r="F19" i="5" s="1"/>
  <c r="K18" i="5"/>
  <c r="F18" i="5"/>
  <c r="C18" i="5"/>
  <c r="A18" i="5"/>
  <c r="K17" i="5"/>
  <c r="C17" i="5"/>
  <c r="A17" i="5"/>
  <c r="F17" i="5" s="1"/>
  <c r="K16" i="5"/>
  <c r="F16" i="5"/>
  <c r="C16" i="5"/>
  <c r="A16" i="5"/>
  <c r="K15" i="5"/>
  <c r="C15" i="5"/>
  <c r="A15" i="5"/>
  <c r="F15" i="5" s="1"/>
  <c r="K14" i="5"/>
  <c r="F14" i="5"/>
  <c r="C14" i="5"/>
  <c r="A14" i="5"/>
  <c r="K13" i="5"/>
  <c r="C13" i="5"/>
  <c r="A13" i="5"/>
  <c r="F13" i="5" s="1"/>
  <c r="K12" i="5"/>
  <c r="F12" i="5"/>
  <c r="C12" i="5"/>
  <c r="A12" i="5"/>
  <c r="K11" i="5"/>
  <c r="C11" i="5"/>
  <c r="A11" i="5"/>
  <c r="F11" i="5" s="1"/>
  <c r="K10" i="5"/>
  <c r="F10" i="5"/>
  <c r="C10" i="5"/>
  <c r="A10" i="5"/>
  <c r="K9" i="5"/>
  <c r="C9" i="5"/>
  <c r="A9" i="5"/>
  <c r="F9" i="5" s="1"/>
  <c r="K8" i="5"/>
  <c r="F8" i="5"/>
  <c r="C8" i="5"/>
  <c r="A8" i="5"/>
  <c r="K7" i="5"/>
  <c r="C7" i="5"/>
  <c r="A7" i="5"/>
  <c r="F7" i="5" s="1"/>
  <c r="K6" i="5"/>
  <c r="F6" i="5"/>
  <c r="C6" i="5"/>
  <c r="A6" i="5"/>
  <c r="K5" i="5"/>
  <c r="C5" i="5"/>
  <c r="A5" i="5"/>
  <c r="F5" i="5" s="1"/>
  <c r="K4" i="5"/>
  <c r="F4" i="5"/>
  <c r="C4" i="5"/>
  <c r="A4" i="5"/>
  <c r="R23" i="4"/>
  <c r="E23" i="4"/>
  <c r="C23" i="4"/>
  <c r="J23" i="4" s="1"/>
  <c r="R22" i="4"/>
  <c r="J22" i="4"/>
  <c r="E22" i="4"/>
  <c r="C22" i="4"/>
  <c r="R21" i="4"/>
  <c r="J21" i="4"/>
  <c r="E21" i="4"/>
  <c r="C21" i="4"/>
  <c r="R20" i="4"/>
  <c r="C20" i="4"/>
  <c r="E20" i="4" s="1"/>
  <c r="B20" i="4"/>
  <c r="B20" i="5" s="1"/>
  <c r="R19" i="4"/>
  <c r="C19" i="4"/>
  <c r="R18" i="4"/>
  <c r="E18" i="4"/>
  <c r="C18" i="4"/>
  <c r="J18" i="4" s="1"/>
  <c r="R17" i="4"/>
  <c r="C17" i="4"/>
  <c r="J17" i="4" s="1"/>
  <c r="R16" i="4"/>
  <c r="J16" i="4"/>
  <c r="C16" i="4"/>
  <c r="E16" i="4" s="1"/>
  <c r="B16" i="4"/>
  <c r="B16" i="5" s="1"/>
  <c r="R15" i="4"/>
  <c r="E15" i="4"/>
  <c r="C15" i="4"/>
  <c r="J15" i="4" s="1"/>
  <c r="R14" i="4"/>
  <c r="J14" i="4"/>
  <c r="E14" i="4"/>
  <c r="C14" i="4"/>
  <c r="R13" i="4"/>
  <c r="J13" i="4"/>
  <c r="E13" i="4"/>
  <c r="C13" i="4"/>
  <c r="B13" i="4"/>
  <c r="B14" i="6" s="1"/>
  <c r="R12" i="4"/>
  <c r="J12" i="4"/>
  <c r="C12" i="4"/>
  <c r="E12" i="4" s="1"/>
  <c r="B12" i="4"/>
  <c r="B12" i="5" s="1"/>
  <c r="R11" i="4"/>
  <c r="C11" i="4"/>
  <c r="R10" i="4"/>
  <c r="E10" i="4"/>
  <c r="C10" i="4"/>
  <c r="J10" i="4" s="1"/>
  <c r="R9" i="4"/>
  <c r="E9" i="4"/>
  <c r="C9" i="4"/>
  <c r="J9" i="4" s="1"/>
  <c r="B9" i="4"/>
  <c r="B10" i="6" s="1"/>
  <c r="R8" i="4"/>
  <c r="J8" i="4"/>
  <c r="C8" i="4"/>
  <c r="E8" i="4" s="1"/>
  <c r="R7" i="4"/>
  <c r="E7" i="4"/>
  <c r="C7" i="4"/>
  <c r="J7" i="4" s="1"/>
  <c r="R6" i="4"/>
  <c r="J6" i="4"/>
  <c r="E6" i="4"/>
  <c r="C6" i="4"/>
  <c r="R5" i="4"/>
  <c r="C5" i="4"/>
  <c r="R4" i="4"/>
  <c r="L4" i="4"/>
  <c r="J4" i="4"/>
  <c r="I4" i="4"/>
  <c r="D4" i="4"/>
  <c r="G4" i="4" s="1"/>
  <c r="P4" i="4" s="1"/>
  <c r="C4" i="4"/>
  <c r="E4" i="4" s="1"/>
  <c r="B4" i="4"/>
  <c r="B4" i="5" s="1"/>
  <c r="B23" i="3"/>
  <c r="B23" i="4" s="1"/>
  <c r="B24" i="6" s="1"/>
  <c r="B22" i="3"/>
  <c r="B22" i="4" s="1"/>
  <c r="B21" i="3"/>
  <c r="B21" i="4" s="1"/>
  <c r="B22" i="6" s="1"/>
  <c r="B20" i="3"/>
  <c r="B19" i="3"/>
  <c r="B19" i="4" s="1"/>
  <c r="B20" i="6" s="1"/>
  <c r="B18" i="3"/>
  <c r="B18" i="4" s="1"/>
  <c r="B18" i="5" s="1"/>
  <c r="B17" i="3"/>
  <c r="B17" i="4" s="1"/>
  <c r="B16" i="3"/>
  <c r="B15" i="3"/>
  <c r="B15" i="4" s="1"/>
  <c r="B16" i="6" s="1"/>
  <c r="B14" i="3"/>
  <c r="B14" i="4" s="1"/>
  <c r="B13" i="3"/>
  <c r="B12" i="3"/>
  <c r="B11" i="3"/>
  <c r="B11" i="4" s="1"/>
  <c r="B12" i="6" s="1"/>
  <c r="B10" i="3"/>
  <c r="B10" i="4" s="1"/>
  <c r="B10" i="5" s="1"/>
  <c r="B9" i="3"/>
  <c r="B8" i="3"/>
  <c r="B8" i="4" s="1"/>
  <c r="B7" i="3"/>
  <c r="B7" i="4" s="1"/>
  <c r="B8" i="6" s="1"/>
  <c r="B6" i="3"/>
  <c r="B6" i="4" s="1"/>
  <c r="B5" i="3"/>
  <c r="B5" i="4" s="1"/>
  <c r="B4" i="3"/>
  <c r="C45" i="2"/>
  <c r="C35" i="2"/>
  <c r="C25" i="2"/>
  <c r="C26" i="2" s="1"/>
  <c r="C8" i="1" s="1"/>
  <c r="C9" i="1"/>
  <c r="C7" i="1"/>
  <c r="C6" i="1"/>
  <c r="C5" i="1"/>
  <c r="C4" i="1"/>
  <c r="C3" i="1"/>
  <c r="B6" i="5" l="1"/>
  <c r="B7" i="6"/>
  <c r="B22" i="5"/>
  <c r="B23" i="6"/>
  <c r="B14" i="5"/>
  <c r="B15" i="6"/>
  <c r="B8" i="5"/>
  <c r="B9" i="6"/>
  <c r="B6" i="6"/>
  <c r="B5" i="5"/>
  <c r="B18" i="6"/>
  <c r="B17" i="5"/>
  <c r="J5" i="4"/>
  <c r="E5" i="4"/>
  <c r="C19" i="6"/>
  <c r="D19" i="6"/>
  <c r="E17" i="4"/>
  <c r="K4" i="4"/>
  <c r="B7" i="5"/>
  <c r="B11" i="5"/>
  <c r="B15" i="5"/>
  <c r="B19" i="5"/>
  <c r="B23" i="5"/>
  <c r="B5" i="6"/>
  <c r="B21" i="6"/>
  <c r="C24" i="6"/>
  <c r="C22" i="6"/>
  <c r="C20" i="6"/>
  <c r="C18" i="6"/>
  <c r="E18" i="6" s="1"/>
  <c r="D24" i="6"/>
  <c r="D22" i="6"/>
  <c r="D20" i="6"/>
  <c r="D18" i="6"/>
  <c r="C23" i="5"/>
  <c r="B11" i="6"/>
  <c r="C21" i="6"/>
  <c r="J20" i="4"/>
  <c r="B17" i="6"/>
  <c r="D21" i="6"/>
  <c r="F4" i="4"/>
  <c r="O4" i="4" s="1"/>
  <c r="H4" i="5" s="1"/>
  <c r="N4" i="4"/>
  <c r="C17" i="6"/>
  <c r="J11" i="4"/>
  <c r="E11" i="4"/>
  <c r="J19" i="4"/>
  <c r="E19" i="4"/>
  <c r="B9" i="5"/>
  <c r="B13" i="5"/>
  <c r="B21" i="5"/>
  <c r="B13" i="6"/>
  <c r="D17" i="6"/>
  <c r="C23" i="6"/>
  <c r="B19" i="6"/>
  <c r="D23" i="6"/>
  <c r="E4" i="6"/>
  <c r="E21" i="6" l="1"/>
  <c r="S4" i="4"/>
  <c r="E22" i="6"/>
  <c r="E17" i="6"/>
  <c r="E20" i="6"/>
  <c r="I4" i="5"/>
  <c r="J4" i="5" s="1"/>
  <c r="E23" i="6"/>
  <c r="E24" i="6"/>
  <c r="E19" i="6"/>
  <c r="T4" i="4" l="1"/>
  <c r="H4" i="4" l="1"/>
  <c r="C5" i="6"/>
  <c r="U4" i="4"/>
  <c r="M4" i="4" l="1"/>
  <c r="I5" i="4" s="1"/>
  <c r="D5" i="6"/>
  <c r="E5" i="6" s="1"/>
  <c r="D5" i="4"/>
  <c r="Q4" i="4"/>
  <c r="D4" i="5" s="1"/>
  <c r="E4" i="5" s="1"/>
  <c r="V4" i="4"/>
  <c r="L4" i="5" l="1"/>
  <c r="G4" i="5"/>
  <c r="G5" i="4"/>
  <c r="F5" i="4"/>
  <c r="N5" i="4"/>
  <c r="K5" i="4"/>
  <c r="L5" i="4"/>
  <c r="O5" i="4" l="1"/>
  <c r="P5" i="4"/>
  <c r="H5" i="5" l="1"/>
  <c r="S5" i="4"/>
  <c r="T5" i="4" l="1"/>
  <c r="U5" i="4" s="1"/>
  <c r="I5" i="5"/>
  <c r="J5" i="5" s="1"/>
  <c r="M5" i="4" l="1"/>
  <c r="I6" i="4" s="1"/>
  <c r="D6" i="6"/>
  <c r="V5" i="4"/>
  <c r="H5" i="4"/>
  <c r="C6" i="6"/>
  <c r="Q5" i="4" l="1"/>
  <c r="D5" i="5" s="1"/>
  <c r="E5" i="5" s="1"/>
  <c r="D6" i="4"/>
  <c r="E6" i="6"/>
  <c r="K6" i="4"/>
  <c r="L6" i="4"/>
  <c r="G6" i="4" l="1"/>
  <c r="P6" i="4" s="1"/>
  <c r="N6" i="4"/>
  <c r="F6" i="4"/>
  <c r="L5" i="5"/>
  <c r="G5" i="5"/>
  <c r="O6" i="4" l="1"/>
  <c r="H6" i="5" l="1"/>
  <c r="S6" i="4"/>
  <c r="T6" i="4" l="1"/>
  <c r="I6" i="5"/>
  <c r="J6" i="5" s="1"/>
  <c r="C7" i="6" l="1"/>
  <c r="H6" i="4"/>
  <c r="U6" i="4"/>
  <c r="D7" i="4" l="1"/>
  <c r="M6" i="4"/>
  <c r="I7" i="4" s="1"/>
  <c r="D7" i="6"/>
  <c r="E7" i="6" s="1"/>
  <c r="V6" i="4"/>
  <c r="L7" i="4" l="1"/>
  <c r="K7" i="4"/>
  <c r="N7" i="4"/>
  <c r="F7" i="4"/>
  <c r="G7" i="4"/>
  <c r="Q6" i="4"/>
  <c r="D6" i="5" s="1"/>
  <c r="E6" i="5" s="1"/>
  <c r="P7" i="4" l="1"/>
  <c r="L6" i="5"/>
  <c r="G6" i="5"/>
  <c r="O7" i="4"/>
  <c r="H7" i="5" l="1"/>
  <c r="S7" i="4"/>
  <c r="T7" i="4" l="1"/>
  <c r="I7" i="5"/>
  <c r="J7" i="5" s="1"/>
  <c r="C8" i="6" l="1"/>
  <c r="H7" i="4"/>
  <c r="U7" i="4"/>
  <c r="M7" i="4" l="1"/>
  <c r="I8" i="4" s="1"/>
  <c r="D8" i="6"/>
  <c r="D8" i="4"/>
  <c r="Q7" i="4"/>
  <c r="D7" i="5" s="1"/>
  <c r="E7" i="5" s="1"/>
  <c r="V7" i="4"/>
  <c r="L7" i="5" l="1"/>
  <c r="G7" i="5"/>
  <c r="F8" i="4"/>
  <c r="N8" i="4"/>
  <c r="G8" i="4"/>
  <c r="P8" i="4" s="1"/>
  <c r="L8" i="4"/>
  <c r="K8" i="4"/>
  <c r="E8" i="6"/>
  <c r="O8" i="4" l="1"/>
  <c r="H8" i="5" l="1"/>
  <c r="S8" i="4"/>
  <c r="T8" i="4" l="1"/>
  <c r="I8" i="5"/>
  <c r="J8" i="5" s="1"/>
  <c r="H8" i="4" l="1"/>
  <c r="C9" i="6"/>
  <c r="U8" i="4"/>
  <c r="M8" i="4" l="1"/>
  <c r="I9" i="4" s="1"/>
  <c r="D9" i="6"/>
  <c r="E9" i="6"/>
  <c r="D9" i="4"/>
  <c r="Q8" i="4"/>
  <c r="D8" i="5" s="1"/>
  <c r="E8" i="5" s="1"/>
  <c r="V8" i="4"/>
  <c r="G9" i="4" l="1"/>
  <c r="F9" i="4"/>
  <c r="N9" i="4"/>
  <c r="L8" i="5"/>
  <c r="G8" i="5"/>
  <c r="L9" i="4"/>
  <c r="K9" i="4"/>
  <c r="O9" i="4" l="1"/>
  <c r="P9" i="4"/>
  <c r="H9" i="5" l="1"/>
  <c r="S9" i="4"/>
  <c r="T9" i="4" l="1"/>
  <c r="I9" i="5"/>
  <c r="J9" i="5" s="1"/>
  <c r="C10" i="6" l="1"/>
  <c r="H9" i="4"/>
  <c r="U9" i="4"/>
  <c r="D10" i="6" l="1"/>
  <c r="M9" i="4"/>
  <c r="I10" i="4" s="1"/>
  <c r="D10" i="4"/>
  <c r="E10" i="6"/>
  <c r="V9" i="4"/>
  <c r="K10" i="4" l="1"/>
  <c r="L10" i="4"/>
  <c r="G10" i="4"/>
  <c r="P10" i="4" s="1"/>
  <c r="F10" i="4"/>
  <c r="N10" i="4"/>
  <c r="Q9" i="4"/>
  <c r="D9" i="5" s="1"/>
  <c r="E9" i="5" s="1"/>
  <c r="O10" i="4" l="1"/>
  <c r="L9" i="5"/>
  <c r="G9" i="5"/>
  <c r="H10" i="5" l="1"/>
  <c r="S10" i="4"/>
  <c r="T10" i="4" l="1"/>
  <c r="U10" i="4"/>
  <c r="I10" i="5"/>
  <c r="J10" i="5" s="1"/>
  <c r="M10" i="4" l="1"/>
  <c r="I11" i="4" s="1"/>
  <c r="D11" i="6"/>
  <c r="V10" i="4"/>
  <c r="H10" i="4"/>
  <c r="C11" i="6"/>
  <c r="E11" i="6" s="1"/>
  <c r="D11" i="4" l="1"/>
  <c r="Q10" i="4"/>
  <c r="D10" i="5" s="1"/>
  <c r="E10" i="5" s="1"/>
  <c r="L11" i="4"/>
  <c r="K11" i="4"/>
  <c r="L10" i="5" l="1"/>
  <c r="G10" i="5"/>
  <c r="N11" i="4"/>
  <c r="F11" i="4"/>
  <c r="G11" i="4"/>
  <c r="P11" i="4" s="1"/>
  <c r="O11" i="4" l="1"/>
  <c r="H11" i="5" l="1"/>
  <c r="S11" i="4"/>
  <c r="T11" i="4" l="1"/>
  <c r="I11" i="5"/>
  <c r="J11" i="5" s="1"/>
  <c r="H11" i="4" l="1"/>
  <c r="C12" i="6"/>
  <c r="U11" i="4"/>
  <c r="M11" i="4" l="1"/>
  <c r="I12" i="4" s="1"/>
  <c r="D12" i="6"/>
  <c r="E12" i="6" s="1"/>
  <c r="D12" i="4"/>
  <c r="Q11" i="4"/>
  <c r="D11" i="5" s="1"/>
  <c r="E11" i="5" s="1"/>
  <c r="V11" i="4"/>
  <c r="F12" i="4" l="1"/>
  <c r="N12" i="4"/>
  <c r="G12" i="4"/>
  <c r="P12" i="4" s="1"/>
  <c r="L11" i="5"/>
  <c r="G11" i="5"/>
  <c r="L12" i="4"/>
  <c r="K12" i="4"/>
  <c r="O12" i="4" l="1"/>
  <c r="H12" i="5" l="1"/>
  <c r="S12" i="4"/>
  <c r="T12" i="4" l="1"/>
  <c r="I12" i="5"/>
  <c r="J12" i="5" s="1"/>
  <c r="C13" i="6" l="1"/>
  <c r="H12" i="4"/>
  <c r="U12" i="4"/>
  <c r="D13" i="4" l="1"/>
  <c r="M12" i="4"/>
  <c r="I13" i="4" s="1"/>
  <c r="D13" i="6"/>
  <c r="E13" i="6" s="1"/>
  <c r="V12" i="4"/>
  <c r="L13" i="4" l="1"/>
  <c r="K13" i="4"/>
  <c r="Q12" i="4"/>
  <c r="D12" i="5" s="1"/>
  <c r="E12" i="5" s="1"/>
  <c r="G13" i="4"/>
  <c r="P13" i="4" s="1"/>
  <c r="F13" i="4"/>
  <c r="N13" i="4"/>
  <c r="L12" i="5" l="1"/>
  <c r="G12" i="5"/>
  <c r="O13" i="4"/>
  <c r="H13" i="5" l="1"/>
  <c r="S13" i="4"/>
  <c r="T13" i="4" l="1"/>
  <c r="I13" i="5"/>
  <c r="J13" i="5" s="1"/>
  <c r="H13" i="4" l="1"/>
  <c r="C14" i="6"/>
  <c r="U13" i="4"/>
  <c r="M13" i="4" l="1"/>
  <c r="I14" i="4" s="1"/>
  <c r="D14" i="6"/>
  <c r="E14" i="6" s="1"/>
  <c r="Q13" i="4"/>
  <c r="D13" i="5" s="1"/>
  <c r="E13" i="5" s="1"/>
  <c r="D14" i="4"/>
  <c r="V13" i="4"/>
  <c r="L13" i="5" l="1"/>
  <c r="G13" i="5"/>
  <c r="G14" i="4"/>
  <c r="N14" i="4"/>
  <c r="F14" i="4"/>
  <c r="K14" i="4"/>
  <c r="L14" i="4"/>
  <c r="P14" i="4" l="1"/>
  <c r="O14" i="4"/>
  <c r="H14" i="5" l="1"/>
  <c r="S14" i="4"/>
  <c r="T14" i="4" l="1"/>
  <c r="U14" i="4"/>
  <c r="I14" i="5"/>
  <c r="J14" i="5" s="1"/>
  <c r="M14" i="4" l="1"/>
  <c r="I15" i="4" s="1"/>
  <c r="D15" i="6"/>
  <c r="V14" i="4"/>
  <c r="H14" i="4"/>
  <c r="C15" i="6"/>
  <c r="E15" i="6" s="1"/>
  <c r="D15" i="4" l="1"/>
  <c r="Q14" i="4"/>
  <c r="D14" i="5" s="1"/>
  <c r="E14" i="5" s="1"/>
  <c r="L15" i="4"/>
  <c r="K15" i="4"/>
  <c r="L14" i="5" l="1"/>
  <c r="G14" i="5"/>
  <c r="N15" i="4"/>
  <c r="F15" i="4"/>
  <c r="G15" i="4"/>
  <c r="P15" i="4" s="1"/>
  <c r="O15" i="4" l="1"/>
  <c r="H15" i="5" l="1"/>
  <c r="S15" i="4"/>
  <c r="T15" i="4" l="1"/>
  <c r="I15" i="5"/>
  <c r="J15" i="5" s="1"/>
  <c r="H15" i="4" l="1"/>
  <c r="U15" i="4"/>
  <c r="D16" i="4" l="1"/>
  <c r="M15" i="4"/>
  <c r="I16" i="4" s="1"/>
  <c r="D16" i="6"/>
  <c r="C16" i="6"/>
  <c r="V15" i="4"/>
  <c r="E16" i="6" l="1"/>
  <c r="B30" i="6"/>
  <c r="C12" i="1" s="1"/>
  <c r="B27" i="6"/>
  <c r="C11" i="1" s="1"/>
  <c r="B31" i="6"/>
  <c r="C14" i="1" s="1"/>
  <c r="B28" i="6"/>
  <c r="C13" i="1" s="1"/>
  <c r="K16" i="4"/>
  <c r="L16" i="4"/>
  <c r="Q15" i="4"/>
  <c r="D15" i="5" s="1"/>
  <c r="E15" i="5" s="1"/>
  <c r="G16" i="4"/>
  <c r="P16" i="4" s="1"/>
  <c r="F16" i="4"/>
  <c r="O16" i="4" s="1"/>
  <c r="N16" i="4"/>
  <c r="H16" i="5" l="1"/>
  <c r="S16" i="4"/>
  <c r="T16" i="4"/>
  <c r="L15" i="5"/>
  <c r="G15" i="5"/>
  <c r="B29" i="6"/>
  <c r="C15" i="1" s="1"/>
  <c r="B32" i="6"/>
  <c r="C16" i="1" s="1"/>
  <c r="H16" i="4" l="1"/>
  <c r="U16" i="4"/>
  <c r="M16" i="4" s="1"/>
  <c r="I17" i="4" s="1"/>
  <c r="I16" i="5"/>
  <c r="J16" i="5" s="1"/>
  <c r="L17" i="4" l="1"/>
  <c r="K17" i="4"/>
  <c r="D17" i="4"/>
  <c r="Q16" i="4"/>
  <c r="D16" i="5" s="1"/>
  <c r="E16" i="5" s="1"/>
  <c r="V16" i="4"/>
  <c r="L16" i="5" l="1"/>
  <c r="G16" i="5"/>
  <c r="N17" i="4"/>
  <c r="F17" i="4"/>
  <c r="O17" i="4" s="1"/>
  <c r="G17" i="4"/>
  <c r="P17" i="4" s="1"/>
  <c r="H17" i="5" l="1"/>
  <c r="S17" i="4"/>
  <c r="T17" i="4"/>
  <c r="H17" i="4" l="1"/>
  <c r="U17" i="4"/>
  <c r="M17" i="4" s="1"/>
  <c r="I18" i="4" s="1"/>
  <c r="I17" i="5"/>
  <c r="J17" i="5" s="1"/>
  <c r="K18" i="4" l="1"/>
  <c r="L18" i="4"/>
  <c r="Q17" i="4"/>
  <c r="D17" i="5" s="1"/>
  <c r="E17" i="5" s="1"/>
  <c r="D18" i="4"/>
  <c r="V17" i="4"/>
  <c r="G18" i="4" l="1"/>
  <c r="P18" i="4" s="1"/>
  <c r="F18" i="4"/>
  <c r="O18" i="4" s="1"/>
  <c r="N18" i="4"/>
  <c r="L17" i="5"/>
  <c r="G17" i="5"/>
  <c r="H18" i="5" l="1"/>
  <c r="S18" i="4"/>
  <c r="T18" i="4" l="1"/>
  <c r="I18" i="5"/>
  <c r="J18" i="5" s="1"/>
  <c r="V18" i="4" l="1"/>
  <c r="H18" i="4"/>
  <c r="U18" i="4"/>
  <c r="M18" i="4" s="1"/>
  <c r="I19" i="4" s="1"/>
  <c r="L19" i="4" l="1"/>
  <c r="K19" i="4"/>
  <c r="D19" i="4"/>
  <c r="Q18" i="4"/>
  <c r="D18" i="5" s="1"/>
  <c r="E18" i="5" s="1"/>
  <c r="L18" i="5" l="1"/>
  <c r="G18" i="5"/>
  <c r="N19" i="4"/>
  <c r="F19" i="4"/>
  <c r="O19" i="4" s="1"/>
  <c r="G19" i="4"/>
  <c r="P19" i="4" s="1"/>
  <c r="H19" i="5" l="1"/>
  <c r="S19" i="4"/>
  <c r="T19" i="4" l="1"/>
  <c r="I19" i="5"/>
  <c r="J19" i="5" s="1"/>
  <c r="H19" i="4" l="1"/>
  <c r="U19" i="4"/>
  <c r="M19" i="4" s="1"/>
  <c r="I20" i="4" s="1"/>
  <c r="L20" i="4" l="1"/>
  <c r="K20" i="4"/>
  <c r="Q19" i="4"/>
  <c r="D19" i="5" s="1"/>
  <c r="E19" i="5" s="1"/>
  <c r="D20" i="4"/>
  <c r="V19" i="4"/>
  <c r="G20" i="4" l="1"/>
  <c r="P20" i="4" s="1"/>
  <c r="N20" i="4"/>
  <c r="F20" i="4"/>
  <c r="O20" i="4" s="1"/>
  <c r="L19" i="5"/>
  <c r="G19" i="5"/>
  <c r="H20" i="5" l="1"/>
  <c r="S20" i="4"/>
  <c r="T20" i="4" l="1"/>
  <c r="I20" i="5"/>
  <c r="J20" i="5" s="1"/>
  <c r="H20" i="4" l="1"/>
  <c r="U20" i="4"/>
  <c r="M20" i="4" s="1"/>
  <c r="I21" i="4" s="1"/>
  <c r="L21" i="4" l="1"/>
  <c r="K21" i="4"/>
  <c r="D21" i="4"/>
  <c r="Q20" i="4"/>
  <c r="D20" i="5" s="1"/>
  <c r="E20" i="5" s="1"/>
  <c r="V20" i="4"/>
  <c r="L20" i="5" l="1"/>
  <c r="G20" i="5"/>
  <c r="G21" i="4"/>
  <c r="P21" i="4" s="1"/>
  <c r="F21" i="4"/>
  <c r="O21" i="4" s="1"/>
  <c r="N21" i="4"/>
  <c r="H21" i="5" l="1"/>
  <c r="S21" i="4"/>
  <c r="T21" i="4" l="1"/>
  <c r="I21" i="5"/>
  <c r="J21" i="5" s="1"/>
  <c r="H21" i="4" l="1"/>
  <c r="U21" i="4"/>
  <c r="M21" i="4" s="1"/>
  <c r="I22" i="4" s="1"/>
  <c r="K22" i="4" l="1"/>
  <c r="L22" i="4"/>
  <c r="Q21" i="4"/>
  <c r="D21" i="5" s="1"/>
  <c r="E21" i="5" s="1"/>
  <c r="D22" i="4"/>
  <c r="V21" i="4"/>
  <c r="G22" i="4" l="1"/>
  <c r="P22" i="4" s="1"/>
  <c r="N22" i="4"/>
  <c r="F22" i="4"/>
  <c r="O22" i="4" s="1"/>
  <c r="L21" i="5"/>
  <c r="G21" i="5"/>
  <c r="H22" i="5" l="1"/>
  <c r="S22" i="4"/>
  <c r="I22" i="5" l="1"/>
  <c r="J22" i="5" s="1"/>
  <c r="T22" i="4"/>
  <c r="H22" i="4" l="1"/>
  <c r="U22" i="4"/>
  <c r="M22" i="4" s="1"/>
  <c r="I23" i="4" s="1"/>
  <c r="K23" i="4" l="1"/>
  <c r="L23" i="4"/>
  <c r="D23" i="4"/>
  <c r="Q22" i="4"/>
  <c r="D22" i="5" s="1"/>
  <c r="E22" i="5" s="1"/>
  <c r="V22" i="4"/>
  <c r="G23" i="4" l="1"/>
  <c r="P23" i="4" s="1"/>
  <c r="N23" i="4"/>
  <c r="F23" i="4"/>
  <c r="O23" i="4" s="1"/>
  <c r="L22" i="5"/>
  <c r="G22" i="5"/>
  <c r="H23" i="5" l="1"/>
  <c r="I23" i="5" s="1"/>
  <c r="J23" i="5" s="1"/>
  <c r="S23" i="4"/>
  <c r="T23" i="4" l="1"/>
  <c r="H23" i="4" l="1"/>
  <c r="U23" i="4"/>
  <c r="M23" i="4" s="1"/>
  <c r="Q23" i="4" l="1"/>
  <c r="D23" i="5" s="1"/>
  <c r="E23" i="5" s="1"/>
  <c r="V23" i="4"/>
  <c r="L23" i="5" l="1"/>
  <c r="C18" i="1" s="1"/>
  <c r="G23" i="5"/>
</calcChain>
</file>

<file path=xl/sharedStrings.xml><?xml version="1.0" encoding="utf-8"?>
<sst xmlns="http://schemas.openxmlformats.org/spreadsheetml/2006/main" count="107" uniqueCount="86">
  <si>
    <t>DEAL SUMMARY</t>
  </si>
  <si>
    <t>Deal Name</t>
  </si>
  <si>
    <t>Borrower</t>
  </si>
  <si>
    <t>Close Date</t>
  </si>
  <si>
    <t>Maturity (Years)</t>
  </si>
  <si>
    <t>Total Commitment ($mm)</t>
  </si>
  <si>
    <t>Total Leverage at Close (x)</t>
  </si>
  <si>
    <t>Assumed Exit Year</t>
  </si>
  <si>
    <t>Tranche A IRR</t>
  </si>
  <si>
    <t>Tranche A MOIC</t>
  </si>
  <si>
    <t>Tranche B IRR</t>
  </si>
  <si>
    <t>Tranche B MOIC</t>
  </si>
  <si>
    <t>Blended IRR</t>
  </si>
  <si>
    <t>Blended MOIC</t>
  </si>
  <si>
    <t>Covenant Test Result</t>
  </si>
  <si>
    <t>PRIVATE CREDIT MODEL — ASSUMPTIONS</t>
  </si>
  <si>
    <t>Project Falcon</t>
  </si>
  <si>
    <t>Sample Borrower LLC</t>
  </si>
  <si>
    <t>2026-01-01</t>
  </si>
  <si>
    <t>EBITDA at Close ($mm)</t>
  </si>
  <si>
    <t>EBITDA Annual Growth (%)</t>
  </si>
  <si>
    <t>TRANCHE A — FIRST OUT</t>
  </si>
  <si>
    <t>Principal ($mm)</t>
  </si>
  <si>
    <t>Spread (bps over SOFR)</t>
  </si>
  <si>
    <t>SOFR Floor (%)</t>
  </si>
  <si>
    <t>OID (% of Par Funded)</t>
  </si>
  <si>
    <t>Annual Mandatory Amortization (%)</t>
  </si>
  <si>
    <t>TRANCHE B — LAST OUT</t>
  </si>
  <si>
    <t>TOTALS</t>
  </si>
  <si>
    <t>COVENANTS</t>
  </si>
  <si>
    <t>Max Total Leverage — Years 1-2 (x)</t>
  </si>
  <si>
    <t>Max Total Leverage — Years 3+ (x)</t>
  </si>
  <si>
    <t>Min Interest Coverage Ratio (x)</t>
  </si>
  <si>
    <t>EXIT ASSUMPTION</t>
  </si>
  <si>
    <t>Exit Period (Quarter #)</t>
  </si>
  <si>
    <t>CALL PROTECTION SCHEDULE</t>
  </si>
  <si>
    <t>Year</t>
  </si>
  <si>
    <t>Call Premium</t>
  </si>
  <si>
    <t>Applicable Call Premium</t>
  </si>
  <si>
    <t>CASH SWEEP</t>
  </si>
  <si>
    <t>FCF Conversion (% of EBITDA)</t>
  </si>
  <si>
    <t>Cash Sweep (% of Excess Cash Flow)</t>
  </si>
  <si>
    <t>SOFR FORWARD CURVE (EDITABLE)</t>
  </si>
  <si>
    <t>Period</t>
  </si>
  <si>
    <t>Date</t>
  </si>
  <si>
    <t>SOFR Forward Rate (%)</t>
  </si>
  <si>
    <t>QUARTERLY DEBT SCHEDULE</t>
  </si>
  <si>
    <t>SOFR Rate</t>
  </si>
  <si>
    <t>Beg Bal A</t>
  </si>
  <si>
    <t>All-in Rate A</t>
  </si>
  <si>
    <t>Cash Int A</t>
  </si>
  <si>
    <t>Sched Amort A</t>
  </si>
  <si>
    <t>End Bal A</t>
  </si>
  <si>
    <t>Beg Bal B</t>
  </si>
  <si>
    <t>All-in Rate B</t>
  </si>
  <si>
    <t>Cash Int B</t>
  </si>
  <si>
    <t>Sched Amort B</t>
  </si>
  <si>
    <t>End Bal B</t>
  </si>
  <si>
    <t>Total Beg Bal</t>
  </si>
  <si>
    <t>Total Cash Int</t>
  </si>
  <si>
    <t>Total Amort</t>
  </si>
  <si>
    <t>Total End Bal</t>
  </si>
  <si>
    <t>Qtrly EBITDA</t>
  </si>
  <si>
    <t>ECF Avail. for Sweep</t>
  </si>
  <si>
    <t>Cash Sweep A</t>
  </si>
  <si>
    <t>Cash Sweep B</t>
  </si>
  <si>
    <t>Total Cash Sweep</t>
  </si>
  <si>
    <t>COVENANT TESTING</t>
  </si>
  <si>
    <t>LTM EBITDA</t>
  </si>
  <si>
    <t>Total Debt</t>
  </si>
  <si>
    <t>Leverage (x)</t>
  </si>
  <si>
    <t>Max Leverage (x)</t>
  </si>
  <si>
    <t>Cushion (x)</t>
  </si>
  <si>
    <t>Cash Int (Qtr)</t>
  </si>
  <si>
    <t>LTM Cash Int</t>
  </si>
  <si>
    <t>Interest Coverage (x)</t>
  </si>
  <si>
    <t>Min ICR (x)</t>
  </si>
  <si>
    <t>Status</t>
  </si>
  <si>
    <t>LENDER CASH FLOWS &amp; RETURNS</t>
  </si>
  <si>
    <t>CF - Tranche A</t>
  </si>
  <si>
    <t>CF - Tranche B</t>
  </si>
  <si>
    <t>CF - Total</t>
  </si>
  <si>
    <t>SUMMARY RETURNS</t>
  </si>
  <si>
    <t>Tranche A IRR (ann.)</t>
  </si>
  <si>
    <t>Tranche B IRR (ann.)</t>
  </si>
  <si>
    <t>Blended IRR (ann.)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</si>
</sst>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&quot;x&quot;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0" fontId="0" fillId="0" borderId="1" xfId="0" applyNumberFormat="1" applyBorder="1"/>
    <xf numFmtId="0" fontId="5" fillId="0" borderId="1" xfId="0" applyFont="1" applyBorder="1"/>
    <xf numFmtId="0" fontId="2" fillId="0" borderId="0" xfId="0" applyFont="1"/>
    <xf numFmtId="0" fontId="0" fillId="3" borderId="1" xfId="0" applyFill="1" applyBorder="1"/>
    <xf numFmtId="164" fontId="0" fillId="3" borderId="1" xfId="0" applyNumberFormat="1" applyFill="1" applyBorder="1"/>
    <xf numFmtId="10" fontId="0" fillId="3" borderId="1" xfId="0" applyNumberFormat="1" applyFill="1" applyBorder="1"/>
    <xf numFmtId="3" fontId="0" fillId="3" borderId="1" xfId="0" applyNumberFormat="1" applyFill="1" applyBorder="1"/>
    <xf numFmtId="4" fontId="0" fillId="0" borderId="1" xfId="0" applyNumberFormat="1" applyBorder="1"/>
    <xf numFmtId="165" fontId="0" fillId="3" borderId="1" xfId="0" applyNumberFormat="1" applyFill="1" applyBorder="1"/>
    <xf numFmtId="0" fontId="4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0" fontId="4" fillId="0" borderId="1" xfId="0" applyNumberFormat="1" applyFont="1" applyBorder="1"/>
    <xf numFmtId="165" fontId="4" fillId="0" borderId="1" xfId="0" applyNumberFormat="1" applyFont="1" applyBorder="1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8"/>
  <sheetViews>
    <sheetView showGridLines="0" workbookViewId="0">
      <selection activeCell="B34" sqref="B34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20" customWidth="1"/>
  </cols>
  <sheetData>
    <row r="1" spans="2:4" ht="19" x14ac:dyDescent="0.2">
      <c r="B1" s="18" t="s">
        <v>0</v>
      </c>
      <c r="C1" s="19"/>
      <c r="D1" s="19"/>
    </row>
    <row r="3" spans="2:4" x14ac:dyDescent="0.2">
      <c r="B3" s="1" t="s">
        <v>1</v>
      </c>
      <c r="C3" s="2" t="str">
        <f>Assumptions!C3</f>
        <v>Project Falcon</v>
      </c>
    </row>
    <row r="4" spans="2:4" x14ac:dyDescent="0.2">
      <c r="B4" s="1" t="s">
        <v>2</v>
      </c>
      <c r="C4" s="2" t="str">
        <f>Assumptions!C4</f>
        <v>Sample Borrower LLC</v>
      </c>
    </row>
    <row r="5" spans="2:4" x14ac:dyDescent="0.2">
      <c r="B5" s="1" t="s">
        <v>3</v>
      </c>
      <c r="C5" s="3" t="str">
        <f>Assumptions!C5</f>
        <v>2026-01-01</v>
      </c>
    </row>
    <row r="6" spans="2:4" x14ac:dyDescent="0.2">
      <c r="B6" s="1" t="s">
        <v>4</v>
      </c>
      <c r="C6" s="2">
        <f>Assumptions!C6</f>
        <v>5</v>
      </c>
    </row>
    <row r="7" spans="2:4" x14ac:dyDescent="0.2">
      <c r="B7" s="1" t="s">
        <v>5</v>
      </c>
      <c r="C7" s="2">
        <f>Assumptions!C25</f>
        <v>100</v>
      </c>
    </row>
    <row r="8" spans="2:4" x14ac:dyDescent="0.2">
      <c r="B8" s="1" t="s">
        <v>6</v>
      </c>
      <c r="C8" s="4">
        <f>Assumptions!C26</f>
        <v>2</v>
      </c>
    </row>
    <row r="9" spans="2:4" x14ac:dyDescent="0.2">
      <c r="B9" s="1" t="s">
        <v>7</v>
      </c>
      <c r="C9" s="2">
        <f>Assumptions!C34</f>
        <v>3</v>
      </c>
    </row>
    <row r="11" spans="2:4" x14ac:dyDescent="0.2">
      <c r="B11" s="1" t="s">
        <v>8</v>
      </c>
      <c r="C11" s="5">
        <f>Returns!B27</f>
        <v>0.10994732975959778</v>
      </c>
    </row>
    <row r="12" spans="2:4" x14ac:dyDescent="0.2">
      <c r="B12" s="1" t="s">
        <v>9</v>
      </c>
      <c r="C12" s="4">
        <f>Returns!B30</f>
        <v>1.1655137630483714</v>
      </c>
    </row>
    <row r="13" spans="2:4" x14ac:dyDescent="0.2">
      <c r="B13" s="1" t="s">
        <v>10</v>
      </c>
      <c r="C13" s="5">
        <f>Returns!B28</f>
        <v>0.13708904385566711</v>
      </c>
    </row>
    <row r="14" spans="2:4" x14ac:dyDescent="0.2">
      <c r="B14" s="1" t="s">
        <v>11</v>
      </c>
      <c r="C14" s="4">
        <f>Returns!B31</f>
        <v>1.3937976027163086</v>
      </c>
    </row>
    <row r="15" spans="2:4" x14ac:dyDescent="0.2">
      <c r="B15" s="1" t="s">
        <v>12</v>
      </c>
      <c r="C15" s="5">
        <f>Returns!B29</f>
        <v>0.1246757686138153</v>
      </c>
    </row>
    <row r="16" spans="2:4" x14ac:dyDescent="0.2">
      <c r="B16" s="1" t="s">
        <v>13</v>
      </c>
      <c r="C16" s="4">
        <f>Returns!B32</f>
        <v>1.2562716384538799</v>
      </c>
    </row>
    <row r="18" spans="2:3" x14ac:dyDescent="0.2">
      <c r="B18" s="1" t="s">
        <v>14</v>
      </c>
      <c r="C18" s="6" t="str">
        <f ca="1">IF(COUNTIF(Covenants!L4:L23,"Fail")&gt;0,"BREACH DETECTED","All Tests Pass")</f>
        <v>All Tests Pass</v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9"/>
  <sheetViews>
    <sheetView showGridLines="0" tabSelected="1" workbookViewId="0">
      <pane ySplit="1" topLeftCell="A2" activePane="bottomLeft" state="frozen"/>
      <selection pane="bottomLeft" activeCell="C34" sqref="C34"/>
    </sheetView>
  </sheetViews>
  <sheetFormatPr baseColWidth="10" defaultColWidth="8.83203125" defaultRowHeight="15" x14ac:dyDescent="0.2"/>
  <cols>
    <col min="1" max="1" width="2" customWidth="1"/>
    <col min="2" max="2" width="34" customWidth="1"/>
    <col min="3" max="4" width="14" customWidth="1"/>
  </cols>
  <sheetData>
    <row r="1" spans="2:5" ht="19" x14ac:dyDescent="0.2">
      <c r="B1" s="18" t="s">
        <v>15</v>
      </c>
      <c r="C1" s="19"/>
      <c r="D1" s="19"/>
      <c r="E1" s="19"/>
    </row>
    <row r="3" spans="2:5" x14ac:dyDescent="0.2">
      <c r="B3" s="7" t="s">
        <v>1</v>
      </c>
      <c r="C3" s="8" t="s">
        <v>16</v>
      </c>
    </row>
    <row r="4" spans="2:5" x14ac:dyDescent="0.2">
      <c r="B4" s="7" t="s">
        <v>2</v>
      </c>
      <c r="C4" s="8" t="s">
        <v>17</v>
      </c>
    </row>
    <row r="5" spans="2:5" x14ac:dyDescent="0.2">
      <c r="B5" s="7" t="s">
        <v>3</v>
      </c>
      <c r="C5" s="9" t="s">
        <v>18</v>
      </c>
    </row>
    <row r="6" spans="2:5" x14ac:dyDescent="0.2">
      <c r="B6" s="7" t="s">
        <v>4</v>
      </c>
      <c r="C6" s="8">
        <v>5</v>
      </c>
    </row>
    <row r="7" spans="2:5" x14ac:dyDescent="0.2">
      <c r="B7" s="7" t="s">
        <v>19</v>
      </c>
      <c r="C7" s="8">
        <v>50</v>
      </c>
    </row>
    <row r="8" spans="2:5" x14ac:dyDescent="0.2">
      <c r="B8" s="7" t="s">
        <v>20</v>
      </c>
      <c r="C8" s="10">
        <v>0.05</v>
      </c>
    </row>
    <row r="10" spans="2:5" x14ac:dyDescent="0.2">
      <c r="B10" s="20" t="s">
        <v>21</v>
      </c>
      <c r="C10" s="20"/>
      <c r="D10" s="20"/>
      <c r="E10" s="20"/>
    </row>
    <row r="11" spans="2:5" x14ac:dyDescent="0.2">
      <c r="B11" s="7" t="s">
        <v>22</v>
      </c>
      <c r="C11" s="8">
        <v>60</v>
      </c>
    </row>
    <row r="12" spans="2:5" x14ac:dyDescent="0.2">
      <c r="B12" s="7" t="s">
        <v>23</v>
      </c>
      <c r="C12" s="11">
        <v>550</v>
      </c>
    </row>
    <row r="13" spans="2:5" x14ac:dyDescent="0.2">
      <c r="B13" s="7" t="s">
        <v>24</v>
      </c>
      <c r="C13" s="10">
        <v>0.01</v>
      </c>
    </row>
    <row r="14" spans="2:5" x14ac:dyDescent="0.2">
      <c r="B14" s="7" t="s">
        <v>25</v>
      </c>
      <c r="C14" s="10">
        <v>0.99</v>
      </c>
    </row>
    <row r="15" spans="2:5" x14ac:dyDescent="0.2">
      <c r="B15" s="7" t="s">
        <v>26</v>
      </c>
      <c r="C15" s="10">
        <v>0.01</v>
      </c>
    </row>
    <row r="17" spans="2:5" x14ac:dyDescent="0.2">
      <c r="B17" s="20" t="s">
        <v>27</v>
      </c>
      <c r="C17" s="20"/>
      <c r="D17" s="20"/>
      <c r="E17" s="20"/>
    </row>
    <row r="18" spans="2:5" x14ac:dyDescent="0.2">
      <c r="B18" s="7" t="s">
        <v>22</v>
      </c>
      <c r="C18" s="8">
        <v>40</v>
      </c>
    </row>
    <row r="19" spans="2:5" x14ac:dyDescent="0.2">
      <c r="B19" s="7" t="s">
        <v>23</v>
      </c>
      <c r="C19" s="11">
        <v>800</v>
      </c>
    </row>
    <row r="20" spans="2:5" x14ac:dyDescent="0.2">
      <c r="B20" s="7" t="s">
        <v>24</v>
      </c>
      <c r="C20" s="10">
        <v>0.01</v>
      </c>
    </row>
    <row r="21" spans="2:5" x14ac:dyDescent="0.2">
      <c r="B21" s="7" t="s">
        <v>25</v>
      </c>
      <c r="C21" s="10">
        <v>0.98</v>
      </c>
    </row>
    <row r="22" spans="2:5" x14ac:dyDescent="0.2">
      <c r="B22" s="7" t="s">
        <v>26</v>
      </c>
      <c r="C22" s="10">
        <v>0</v>
      </c>
    </row>
    <row r="24" spans="2:5" x14ac:dyDescent="0.2">
      <c r="B24" s="20" t="s">
        <v>28</v>
      </c>
      <c r="C24" s="20"/>
      <c r="D24" s="20"/>
      <c r="E24" s="20"/>
    </row>
    <row r="25" spans="2:5" x14ac:dyDescent="0.2">
      <c r="B25" s="7" t="s">
        <v>5</v>
      </c>
      <c r="C25" s="12">
        <f>C11+C18</f>
        <v>100</v>
      </c>
    </row>
    <row r="26" spans="2:5" x14ac:dyDescent="0.2">
      <c r="B26" s="7" t="s">
        <v>6</v>
      </c>
      <c r="C26" s="4">
        <f>C25/C7</f>
        <v>2</v>
      </c>
    </row>
    <row r="28" spans="2:5" x14ac:dyDescent="0.2">
      <c r="B28" s="20" t="s">
        <v>29</v>
      </c>
      <c r="C28" s="20"/>
      <c r="D28" s="20"/>
      <c r="E28" s="20"/>
    </row>
    <row r="29" spans="2:5" x14ac:dyDescent="0.2">
      <c r="B29" s="7" t="s">
        <v>30</v>
      </c>
      <c r="C29" s="13">
        <v>6.5</v>
      </c>
    </row>
    <row r="30" spans="2:5" x14ac:dyDescent="0.2">
      <c r="B30" s="7" t="s">
        <v>31</v>
      </c>
      <c r="C30" s="13">
        <v>6</v>
      </c>
    </row>
    <row r="31" spans="2:5" x14ac:dyDescent="0.2">
      <c r="B31" s="7" t="s">
        <v>32</v>
      </c>
      <c r="C31" s="13">
        <v>2</v>
      </c>
    </row>
    <row r="33" spans="2:5" x14ac:dyDescent="0.2">
      <c r="B33" s="20" t="s">
        <v>33</v>
      </c>
      <c r="C33" s="20"/>
      <c r="D33" s="20"/>
      <c r="E33" s="20"/>
    </row>
    <row r="34" spans="2:5" x14ac:dyDescent="0.2">
      <c r="B34" s="7" t="s">
        <v>7</v>
      </c>
      <c r="C34" s="8">
        <v>3</v>
      </c>
    </row>
    <row r="35" spans="2:5" x14ac:dyDescent="0.2">
      <c r="B35" s="7" t="s">
        <v>34</v>
      </c>
      <c r="C35" s="2">
        <f>C34*4</f>
        <v>12</v>
      </c>
    </row>
    <row r="37" spans="2:5" x14ac:dyDescent="0.2">
      <c r="B37" s="20" t="s">
        <v>35</v>
      </c>
      <c r="C37" s="20"/>
      <c r="D37" s="20"/>
      <c r="E37" s="20"/>
    </row>
    <row r="38" spans="2:5" x14ac:dyDescent="0.2">
      <c r="C38" s="14" t="s">
        <v>36</v>
      </c>
      <c r="D38" s="14" t="s">
        <v>37</v>
      </c>
    </row>
    <row r="39" spans="2:5" x14ac:dyDescent="0.2">
      <c r="C39" s="2">
        <v>1</v>
      </c>
      <c r="D39" s="5">
        <v>1.02</v>
      </c>
    </row>
    <row r="40" spans="2:5" x14ac:dyDescent="0.2">
      <c r="C40" s="2">
        <v>2</v>
      </c>
      <c r="D40" s="5">
        <v>1.01</v>
      </c>
    </row>
    <row r="41" spans="2:5" x14ac:dyDescent="0.2">
      <c r="C41" s="2">
        <v>3</v>
      </c>
      <c r="D41" s="5">
        <v>1</v>
      </c>
    </row>
    <row r="42" spans="2:5" x14ac:dyDescent="0.2">
      <c r="C42" s="2">
        <v>4</v>
      </c>
      <c r="D42" s="5">
        <v>1</v>
      </c>
    </row>
    <row r="43" spans="2:5" x14ac:dyDescent="0.2">
      <c r="C43" s="2">
        <v>5</v>
      </c>
      <c r="D43" s="5">
        <v>1</v>
      </c>
    </row>
    <row r="45" spans="2:5" x14ac:dyDescent="0.2">
      <c r="B45" s="7" t="s">
        <v>38</v>
      </c>
      <c r="C45" s="5">
        <f>VLOOKUP(C34,C39:D43,2,FALSE)</f>
        <v>1</v>
      </c>
    </row>
    <row r="47" spans="2:5" x14ac:dyDescent="0.2">
      <c r="B47" s="20" t="s">
        <v>39</v>
      </c>
      <c r="C47" s="20"/>
      <c r="D47" s="20"/>
      <c r="E47" s="20"/>
    </row>
    <row r="48" spans="2:5" x14ac:dyDescent="0.2">
      <c r="B48" s="7" t="s">
        <v>40</v>
      </c>
      <c r="C48" s="10">
        <v>0.7</v>
      </c>
    </row>
    <row r="49" spans="2:3" x14ac:dyDescent="0.2">
      <c r="B49" s="7" t="s">
        <v>41</v>
      </c>
      <c r="C49" s="10">
        <v>0.75</v>
      </c>
    </row>
  </sheetData>
  <mergeCells count="8">
    <mergeCell ref="B17:E17"/>
    <mergeCell ref="B1:E1"/>
    <mergeCell ref="B33:E33"/>
    <mergeCell ref="B24:E24"/>
    <mergeCell ref="B47:E47"/>
    <mergeCell ref="B37:E37"/>
    <mergeCell ref="B10:E10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3" topLeftCell="A4" activePane="bottomLeft" state="frozen"/>
      <selection pane="bottomLeft" activeCell="F1" sqref="F1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20" customWidth="1"/>
  </cols>
  <sheetData>
    <row r="1" spans="1:5" ht="19" x14ac:dyDescent="0.2">
      <c r="B1" s="18" t="s">
        <v>42</v>
      </c>
      <c r="C1" s="19"/>
      <c r="D1" s="19"/>
      <c r="E1" s="19"/>
    </row>
    <row r="3" spans="1:5" x14ac:dyDescent="0.2">
      <c r="A3" s="14" t="s">
        <v>43</v>
      </c>
      <c r="B3" s="14" t="s">
        <v>44</v>
      </c>
      <c r="C3" s="14" t="s">
        <v>45</v>
      </c>
    </row>
    <row r="4" spans="1:5" x14ac:dyDescent="0.2">
      <c r="A4" s="2">
        <v>1</v>
      </c>
      <c r="B4" s="3">
        <f>EDATE(Assumptions!$C$5,1*3)</f>
        <v>46113</v>
      </c>
      <c r="C4" s="10">
        <v>4.4999999999999998E-2</v>
      </c>
    </row>
    <row r="5" spans="1:5" x14ac:dyDescent="0.2">
      <c r="A5" s="2">
        <v>2</v>
      </c>
      <c r="B5" s="3">
        <f>EDATE(Assumptions!$C$5,2*3)</f>
        <v>46204</v>
      </c>
      <c r="C5" s="10">
        <v>4.4499999999999998E-2</v>
      </c>
    </row>
    <row r="6" spans="1:5" x14ac:dyDescent="0.2">
      <c r="A6" s="2">
        <v>3</v>
      </c>
      <c r="B6" s="3">
        <f>EDATE(Assumptions!$C$5,3*3)</f>
        <v>46296</v>
      </c>
      <c r="C6" s="10">
        <v>4.3999999999999997E-2</v>
      </c>
    </row>
    <row r="7" spans="1:5" x14ac:dyDescent="0.2">
      <c r="A7" s="2">
        <v>4</v>
      </c>
      <c r="B7" s="3">
        <f>EDATE(Assumptions!$C$5,4*3)</f>
        <v>46388</v>
      </c>
      <c r="C7" s="10">
        <v>4.3499999999999997E-2</v>
      </c>
    </row>
    <row r="8" spans="1:5" x14ac:dyDescent="0.2">
      <c r="A8" s="2">
        <v>5</v>
      </c>
      <c r="B8" s="3">
        <f>EDATE(Assumptions!$C$5,5*3)</f>
        <v>46478</v>
      </c>
      <c r="C8" s="10">
        <v>4.2999999999999997E-2</v>
      </c>
    </row>
    <row r="9" spans="1:5" x14ac:dyDescent="0.2">
      <c r="A9" s="2">
        <v>6</v>
      </c>
      <c r="B9" s="3">
        <f>EDATE(Assumptions!$C$5,6*3)</f>
        <v>46569</v>
      </c>
      <c r="C9" s="10">
        <v>4.2500000000000003E-2</v>
      </c>
    </row>
    <row r="10" spans="1:5" x14ac:dyDescent="0.2">
      <c r="A10" s="2">
        <v>7</v>
      </c>
      <c r="B10" s="3">
        <f>EDATE(Assumptions!$C$5,7*3)</f>
        <v>46661</v>
      </c>
      <c r="C10" s="10">
        <v>4.2000000000000003E-2</v>
      </c>
    </row>
    <row r="11" spans="1:5" x14ac:dyDescent="0.2">
      <c r="A11" s="2">
        <v>8</v>
      </c>
      <c r="B11" s="3">
        <f>EDATE(Assumptions!$C$5,8*3)</f>
        <v>46753</v>
      </c>
      <c r="C11" s="10">
        <v>4.1500000000000002E-2</v>
      </c>
    </row>
    <row r="12" spans="1:5" x14ac:dyDescent="0.2">
      <c r="A12" s="2">
        <v>9</v>
      </c>
      <c r="B12" s="3">
        <f>EDATE(Assumptions!$C$5,9*3)</f>
        <v>46844</v>
      </c>
      <c r="C12" s="10">
        <v>4.1000000000000002E-2</v>
      </c>
    </row>
    <row r="13" spans="1:5" x14ac:dyDescent="0.2">
      <c r="A13" s="2">
        <v>10</v>
      </c>
      <c r="B13" s="3">
        <f>EDATE(Assumptions!$C$5,10*3)</f>
        <v>46935</v>
      </c>
      <c r="C13" s="10">
        <v>4.0500000000000001E-2</v>
      </c>
    </row>
    <row r="14" spans="1:5" x14ac:dyDescent="0.2">
      <c r="A14" s="2">
        <v>11</v>
      </c>
      <c r="B14" s="3">
        <f>EDATE(Assumptions!$C$5,11*3)</f>
        <v>47027</v>
      </c>
      <c r="C14" s="10">
        <v>0.04</v>
      </c>
    </row>
    <row r="15" spans="1:5" x14ac:dyDescent="0.2">
      <c r="A15" s="2">
        <v>12</v>
      </c>
      <c r="B15" s="3">
        <f>EDATE(Assumptions!$C$5,12*3)</f>
        <v>47119</v>
      </c>
      <c r="C15" s="10">
        <v>3.95E-2</v>
      </c>
    </row>
    <row r="16" spans="1:5" x14ac:dyDescent="0.2">
      <c r="A16" s="2">
        <v>13</v>
      </c>
      <c r="B16" s="3">
        <f>EDATE(Assumptions!$C$5,13*3)</f>
        <v>47209</v>
      </c>
      <c r="C16" s="10">
        <v>3.9E-2</v>
      </c>
    </row>
    <row r="17" spans="1:3" x14ac:dyDescent="0.2">
      <c r="A17" s="2">
        <v>14</v>
      </c>
      <c r="B17" s="3">
        <f>EDATE(Assumptions!$C$5,14*3)</f>
        <v>47300</v>
      </c>
      <c r="C17" s="10">
        <v>3.85E-2</v>
      </c>
    </row>
    <row r="18" spans="1:3" x14ac:dyDescent="0.2">
      <c r="A18" s="2">
        <v>15</v>
      </c>
      <c r="B18" s="3">
        <f>EDATE(Assumptions!$C$5,15*3)</f>
        <v>47392</v>
      </c>
      <c r="C18" s="10">
        <v>3.7999999999999999E-2</v>
      </c>
    </row>
    <row r="19" spans="1:3" x14ac:dyDescent="0.2">
      <c r="A19" s="2">
        <v>16</v>
      </c>
      <c r="B19" s="3">
        <f>EDATE(Assumptions!$C$5,16*3)</f>
        <v>47484</v>
      </c>
      <c r="C19" s="10">
        <v>3.7499999999999999E-2</v>
      </c>
    </row>
    <row r="20" spans="1:3" x14ac:dyDescent="0.2">
      <c r="A20" s="2">
        <v>17</v>
      </c>
      <c r="B20" s="3">
        <f>EDATE(Assumptions!$C$5,17*3)</f>
        <v>47574</v>
      </c>
      <c r="C20" s="10">
        <v>3.6999999999999998E-2</v>
      </c>
    </row>
    <row r="21" spans="1:3" x14ac:dyDescent="0.2">
      <c r="A21" s="2">
        <v>18</v>
      </c>
      <c r="B21" s="3">
        <f>EDATE(Assumptions!$C$5,18*3)</f>
        <v>47665</v>
      </c>
      <c r="C21" s="10">
        <v>3.6499999999999998E-2</v>
      </c>
    </row>
    <row r="22" spans="1:3" x14ac:dyDescent="0.2">
      <c r="A22" s="2">
        <v>19</v>
      </c>
      <c r="B22" s="3">
        <f>EDATE(Assumptions!$C$5,19*3)</f>
        <v>47757</v>
      </c>
      <c r="C22" s="10">
        <v>3.5999999999999997E-2</v>
      </c>
    </row>
    <row r="23" spans="1:3" x14ac:dyDescent="0.2">
      <c r="A23" s="2">
        <v>20</v>
      </c>
      <c r="B23" s="3">
        <f>EDATE(Assumptions!$C$5,20*3)</f>
        <v>47849</v>
      </c>
      <c r="C23" s="10">
        <v>3.5499999999999997E-2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3"/>
  <sheetViews>
    <sheetView showGridLines="0" showRowColHeaders="0"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10" customWidth="1"/>
    <col min="4" max="18" width="12" customWidth="1"/>
    <col min="19" max="19" width="16" customWidth="1"/>
    <col min="20" max="21" width="12" customWidth="1"/>
    <col min="22" max="22" width="14" customWidth="1"/>
  </cols>
  <sheetData>
    <row r="1" spans="1:22" ht="19" x14ac:dyDescent="0.2">
      <c r="B1" s="18" t="s">
        <v>46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3" spans="1:22" x14ac:dyDescent="0.2">
      <c r="A3" s="14" t="s">
        <v>43</v>
      </c>
      <c r="B3" s="14" t="s">
        <v>44</v>
      </c>
      <c r="C3" s="14" t="s">
        <v>47</v>
      </c>
      <c r="D3" s="14" t="s">
        <v>48</v>
      </c>
      <c r="E3" s="14" t="s">
        <v>49</v>
      </c>
      <c r="F3" s="14" t="s">
        <v>50</v>
      </c>
      <c r="G3" s="14" t="s">
        <v>51</v>
      </c>
      <c r="H3" s="14" t="s">
        <v>52</v>
      </c>
      <c r="I3" s="14" t="s">
        <v>53</v>
      </c>
      <c r="J3" s="14" t="s">
        <v>54</v>
      </c>
      <c r="K3" s="14" t="s">
        <v>55</v>
      </c>
      <c r="L3" s="14" t="s">
        <v>56</v>
      </c>
      <c r="M3" s="14" t="s">
        <v>57</v>
      </c>
      <c r="N3" s="14" t="s">
        <v>58</v>
      </c>
      <c r="O3" s="14" t="s">
        <v>59</v>
      </c>
      <c r="P3" s="14" t="s">
        <v>60</v>
      </c>
      <c r="Q3" s="14" t="s">
        <v>61</v>
      </c>
      <c r="R3" s="14" t="s">
        <v>62</v>
      </c>
      <c r="S3" s="14" t="s">
        <v>63</v>
      </c>
      <c r="T3" s="14" t="s">
        <v>64</v>
      </c>
      <c r="U3" s="14" t="s">
        <v>65</v>
      </c>
      <c r="V3" s="14" t="s">
        <v>66</v>
      </c>
    </row>
    <row r="4" spans="1:22" x14ac:dyDescent="0.2">
      <c r="A4" s="2">
        <v>1</v>
      </c>
      <c r="B4" s="3">
        <f>'SOFR Curve'!B4</f>
        <v>46113</v>
      </c>
      <c r="C4" s="5">
        <f>'SOFR Curve'!C4</f>
        <v>4.4999999999999998E-2</v>
      </c>
      <c r="D4" s="12">
        <f>Assumptions!$C$11</f>
        <v>60</v>
      </c>
      <c r="E4" s="5">
        <f>MAX(C4,Assumptions!$C$13)+Assumptions!$C$12/10000</f>
        <v>0.1</v>
      </c>
      <c r="F4" s="12">
        <f t="shared" ref="F4:F23" si="0">D4*E4/4</f>
        <v>1.5</v>
      </c>
      <c r="G4" s="12">
        <f>MIN(D4,Assumptions!$C$11*Assumptions!$C$15/4)</f>
        <v>0.15</v>
      </c>
      <c r="H4" s="12">
        <f t="shared" ref="H4:H23" si="1">D4-G4-T4</f>
        <v>55.38196346155943</v>
      </c>
      <c r="I4" s="12">
        <f>Assumptions!$C$18</f>
        <v>40</v>
      </c>
      <c r="J4" s="5">
        <f>MAX(C4,Assumptions!$C$20)+Assumptions!$C$19/10000</f>
        <v>0.125</v>
      </c>
      <c r="K4" s="12">
        <f t="shared" ref="K4:K23" si="2">I4*J4/4</f>
        <v>1.25</v>
      </c>
      <c r="L4" s="12">
        <f>MIN(I4,Assumptions!$C$18*Assumptions!$C$22/4)</f>
        <v>0</v>
      </c>
      <c r="M4" s="12">
        <f t="shared" ref="M4:M23" si="3">I4-L4-U4</f>
        <v>40</v>
      </c>
      <c r="N4" s="12">
        <f t="shared" ref="N4:N23" si="4">D4+I4</f>
        <v>100</v>
      </c>
      <c r="O4" s="12">
        <f t="shared" ref="O4:O23" si="5">F4+K4</f>
        <v>2.75</v>
      </c>
      <c r="P4" s="12">
        <f t="shared" ref="P4:P23" si="6">G4+L4</f>
        <v>0.15</v>
      </c>
      <c r="Q4" s="12">
        <f t="shared" ref="Q4:Q23" si="7">H4+M4</f>
        <v>95.381963461559423</v>
      </c>
      <c r="R4" s="12">
        <f>Assumptions!$C$7*(1+Assumptions!$C$8)^(A4/4)/4</f>
        <v>12.653402930362992</v>
      </c>
      <c r="S4" s="12">
        <f>MAX(0,R4*Assumptions!$C$48-O4-P4)*Assumptions!$C$49</f>
        <v>4.46803653844057</v>
      </c>
      <c r="T4" s="12">
        <f t="shared" ref="T4:T23" si="8">MIN(D4-G4,S4)</f>
        <v>4.46803653844057</v>
      </c>
      <c r="U4" s="12">
        <f t="shared" ref="U4:U23" si="9">MIN(I4-L4,MAX(0,S4-T4))</f>
        <v>0</v>
      </c>
      <c r="V4" s="12">
        <f t="shared" ref="V4:V23" si="10">T4+U4</f>
        <v>4.46803653844057</v>
      </c>
    </row>
    <row r="5" spans="1:22" x14ac:dyDescent="0.2">
      <c r="A5" s="2">
        <v>2</v>
      </c>
      <c r="B5" s="3">
        <f>'SOFR Curve'!B5</f>
        <v>46204</v>
      </c>
      <c r="C5" s="5">
        <f>'SOFR Curve'!C5</f>
        <v>4.4499999999999998E-2</v>
      </c>
      <c r="D5" s="12">
        <f t="shared" ref="D5:D23" si="11">H4</f>
        <v>55.38196346155943</v>
      </c>
      <c r="E5" s="5">
        <f>MAX(C5,Assumptions!$C$13)+Assumptions!$C$12/10000</f>
        <v>9.9500000000000005E-2</v>
      </c>
      <c r="F5" s="12">
        <f t="shared" si="0"/>
        <v>1.3776263411062908</v>
      </c>
      <c r="G5" s="12">
        <f>MIN(D5,Assumptions!$C$11*Assumptions!$C$15/4)</f>
        <v>0.15</v>
      </c>
      <c r="H5" s="12">
        <f t="shared" si="1"/>
        <v>50.586871777228161</v>
      </c>
      <c r="I5" s="12">
        <f t="shared" ref="I5:I23" si="12">M4</f>
        <v>40</v>
      </c>
      <c r="J5" s="5">
        <f>MAX(C5,Assumptions!$C$20)+Assumptions!$C$19/10000</f>
        <v>0.1245</v>
      </c>
      <c r="K5" s="12">
        <f t="shared" si="2"/>
        <v>1.2450000000000001</v>
      </c>
      <c r="L5" s="12">
        <f>MIN(I5,Assumptions!$C$18*Assumptions!$C$22/4)</f>
        <v>0</v>
      </c>
      <c r="M5" s="12">
        <f t="shared" si="3"/>
        <v>40</v>
      </c>
      <c r="N5" s="12">
        <f t="shared" si="4"/>
        <v>95.381963461559423</v>
      </c>
      <c r="O5" s="12">
        <f t="shared" si="5"/>
        <v>2.6226263411062911</v>
      </c>
      <c r="P5" s="12">
        <f t="shared" si="6"/>
        <v>0.15</v>
      </c>
      <c r="Q5" s="12">
        <f t="shared" si="7"/>
        <v>90.586871777228168</v>
      </c>
      <c r="R5" s="12">
        <f>Assumptions!$C$7*(1+Assumptions!$C$8)^(A5/4)/4</f>
        <v>12.808688457449499</v>
      </c>
      <c r="S5" s="12">
        <f>MAX(0,R5*Assumptions!$C$48-O5-P5)*Assumptions!$C$49</f>
        <v>4.645091684331268</v>
      </c>
      <c r="T5" s="12">
        <f t="shared" si="8"/>
        <v>4.645091684331268</v>
      </c>
      <c r="U5" s="12">
        <f t="shared" si="9"/>
        <v>0</v>
      </c>
      <c r="V5" s="12">
        <f t="shared" si="10"/>
        <v>4.645091684331268</v>
      </c>
    </row>
    <row r="6" spans="1:22" x14ac:dyDescent="0.2">
      <c r="A6" s="2">
        <v>3</v>
      </c>
      <c r="B6" s="3">
        <f>'SOFR Curve'!B6</f>
        <v>46296</v>
      </c>
      <c r="C6" s="5">
        <f>'SOFR Curve'!C6</f>
        <v>4.3999999999999997E-2</v>
      </c>
      <c r="D6" s="12">
        <f t="shared" si="11"/>
        <v>50.586871777228161</v>
      </c>
      <c r="E6" s="5">
        <f>MAX(C6,Assumptions!$C$13)+Assumptions!$C$12/10000</f>
        <v>9.9000000000000005E-2</v>
      </c>
      <c r="F6" s="12">
        <f t="shared" si="0"/>
        <v>1.2520250764863972</v>
      </c>
      <c r="G6" s="12">
        <f>MIN(D6,Assumptions!$C$11*Assumptions!$C$15/4)</f>
        <v>0.15</v>
      </c>
      <c r="H6" s="12">
        <f t="shared" si="1"/>
        <v>45.611303750005845</v>
      </c>
      <c r="I6" s="12">
        <f t="shared" si="12"/>
        <v>40</v>
      </c>
      <c r="J6" s="5">
        <f>MAX(C6,Assumptions!$C$20)+Assumptions!$C$19/10000</f>
        <v>0.124</v>
      </c>
      <c r="K6" s="12">
        <f t="shared" si="2"/>
        <v>1.24</v>
      </c>
      <c r="L6" s="12">
        <f>MIN(I6,Assumptions!$C$18*Assumptions!$C$22/4)</f>
        <v>0</v>
      </c>
      <c r="M6" s="12">
        <f t="shared" si="3"/>
        <v>40</v>
      </c>
      <c r="N6" s="12">
        <f t="shared" si="4"/>
        <v>90.586871777228168</v>
      </c>
      <c r="O6" s="12">
        <f t="shared" si="5"/>
        <v>2.4920250764863972</v>
      </c>
      <c r="P6" s="12">
        <f t="shared" si="6"/>
        <v>0.15</v>
      </c>
      <c r="Q6" s="12">
        <f t="shared" si="7"/>
        <v>85.611303750005845</v>
      </c>
      <c r="R6" s="12">
        <f>Assumptions!$C$7*(1+Assumptions!$C$8)^(A6/4)/4</f>
        <v>12.965879684927847</v>
      </c>
      <c r="S6" s="12">
        <f>MAX(0,R6*Assumptions!$C$48-O6-P6)*Assumptions!$C$49</f>
        <v>4.8255680272223209</v>
      </c>
      <c r="T6" s="12">
        <f t="shared" si="8"/>
        <v>4.8255680272223209</v>
      </c>
      <c r="U6" s="12">
        <f t="shared" si="9"/>
        <v>0</v>
      </c>
      <c r="V6" s="12">
        <f t="shared" si="10"/>
        <v>4.8255680272223209</v>
      </c>
    </row>
    <row r="7" spans="1:22" x14ac:dyDescent="0.2">
      <c r="A7" s="2">
        <v>4</v>
      </c>
      <c r="B7" s="3">
        <f>'SOFR Curve'!B7</f>
        <v>46388</v>
      </c>
      <c r="C7" s="5">
        <f>'SOFR Curve'!C7</f>
        <v>4.3499999999999997E-2</v>
      </c>
      <c r="D7" s="12">
        <f t="shared" si="11"/>
        <v>45.611303750005845</v>
      </c>
      <c r="E7" s="5">
        <f>MAX(C7,Assumptions!$C$13)+Assumptions!$C$12/10000</f>
        <v>9.8500000000000004E-2</v>
      </c>
      <c r="F7" s="12">
        <f t="shared" si="0"/>
        <v>1.1231783548438941</v>
      </c>
      <c r="G7" s="12">
        <f>MIN(D7,Assumptions!$C$11*Assumptions!$C$15/4)</f>
        <v>0.15</v>
      </c>
      <c r="H7" s="12">
        <f t="shared" si="1"/>
        <v>40.451812516138766</v>
      </c>
      <c r="I7" s="12">
        <f t="shared" si="12"/>
        <v>40</v>
      </c>
      <c r="J7" s="5">
        <f>MAX(C7,Assumptions!$C$20)+Assumptions!$C$19/10000</f>
        <v>0.1235</v>
      </c>
      <c r="K7" s="12">
        <f t="shared" si="2"/>
        <v>1.2349999999999999</v>
      </c>
      <c r="L7" s="12">
        <f>MIN(I7,Assumptions!$C$18*Assumptions!$C$22/4)</f>
        <v>0</v>
      </c>
      <c r="M7" s="12">
        <f t="shared" si="3"/>
        <v>40</v>
      </c>
      <c r="N7" s="12">
        <f t="shared" si="4"/>
        <v>85.611303750005845</v>
      </c>
      <c r="O7" s="12">
        <f t="shared" si="5"/>
        <v>2.3581783548438939</v>
      </c>
      <c r="P7" s="12">
        <f t="shared" si="6"/>
        <v>0.15</v>
      </c>
      <c r="Q7" s="12">
        <f t="shared" si="7"/>
        <v>80.451812516138773</v>
      </c>
      <c r="R7" s="12">
        <f>Assumptions!$C$7*(1+Assumptions!$C$8)^(A7/4)/4</f>
        <v>13.125</v>
      </c>
      <c r="S7" s="12">
        <f>MAX(0,R7*Assumptions!$C$48-O7-P7)*Assumptions!$C$49</f>
        <v>5.0094912338670792</v>
      </c>
      <c r="T7" s="12">
        <f t="shared" si="8"/>
        <v>5.0094912338670792</v>
      </c>
      <c r="U7" s="12">
        <f t="shared" si="9"/>
        <v>0</v>
      </c>
      <c r="V7" s="12">
        <f t="shared" si="10"/>
        <v>5.0094912338670792</v>
      </c>
    </row>
    <row r="8" spans="1:22" x14ac:dyDescent="0.2">
      <c r="A8" s="2">
        <v>5</v>
      </c>
      <c r="B8" s="3">
        <f>'SOFR Curve'!B8</f>
        <v>46478</v>
      </c>
      <c r="C8" s="5">
        <f>'SOFR Curve'!C8</f>
        <v>4.2999999999999997E-2</v>
      </c>
      <c r="D8" s="12">
        <f t="shared" si="11"/>
        <v>40.451812516138766</v>
      </c>
      <c r="E8" s="5">
        <f>MAX(C8,Assumptions!$C$13)+Assumptions!$C$12/10000</f>
        <v>9.8000000000000004E-2</v>
      </c>
      <c r="F8" s="12">
        <f t="shared" si="0"/>
        <v>0.99106940664539978</v>
      </c>
      <c r="G8" s="12">
        <f>MIN(D8,Assumptions!$C$11*Assumptions!$C$15/4)</f>
        <v>0.15</v>
      </c>
      <c r="H8" s="12">
        <f t="shared" si="1"/>
        <v>35.104926205760222</v>
      </c>
      <c r="I8" s="12">
        <f t="shared" si="12"/>
        <v>40</v>
      </c>
      <c r="J8" s="5">
        <f>MAX(C8,Assumptions!$C$20)+Assumptions!$C$19/10000</f>
        <v>0.123</v>
      </c>
      <c r="K8" s="12">
        <f t="shared" si="2"/>
        <v>1.23</v>
      </c>
      <c r="L8" s="12">
        <f>MIN(I8,Assumptions!$C$18*Assumptions!$C$22/4)</f>
        <v>0</v>
      </c>
      <c r="M8" s="12">
        <f t="shared" si="3"/>
        <v>40</v>
      </c>
      <c r="N8" s="12">
        <f t="shared" si="4"/>
        <v>80.451812516138773</v>
      </c>
      <c r="O8" s="12">
        <f t="shared" si="5"/>
        <v>2.2210694066454</v>
      </c>
      <c r="P8" s="12">
        <f t="shared" si="6"/>
        <v>0.15</v>
      </c>
      <c r="Q8" s="12">
        <f t="shared" si="7"/>
        <v>75.104926205760222</v>
      </c>
      <c r="R8" s="12">
        <f>Assumptions!$C$7*(1+Assumptions!$C$8)^(A8/4)/4</f>
        <v>13.286073076881141</v>
      </c>
      <c r="S8" s="12">
        <f>MAX(0,R8*Assumptions!$C$48-O8-P8)*Assumptions!$C$49</f>
        <v>5.1968863103785488</v>
      </c>
      <c r="T8" s="12">
        <f t="shared" si="8"/>
        <v>5.1968863103785488</v>
      </c>
      <c r="U8" s="12">
        <f t="shared" si="9"/>
        <v>0</v>
      </c>
      <c r="V8" s="12">
        <f t="shared" si="10"/>
        <v>5.1968863103785488</v>
      </c>
    </row>
    <row r="9" spans="1:22" x14ac:dyDescent="0.2">
      <c r="A9" s="2">
        <v>6</v>
      </c>
      <c r="B9" s="3">
        <f>'SOFR Curve'!B9</f>
        <v>46569</v>
      </c>
      <c r="C9" s="5">
        <f>'SOFR Curve'!C9</f>
        <v>4.2500000000000003E-2</v>
      </c>
      <c r="D9" s="12">
        <f t="shared" si="11"/>
        <v>35.104926205760222</v>
      </c>
      <c r="E9" s="5">
        <f>MAX(C9,Assumptions!$C$13)+Assumptions!$C$12/10000</f>
        <v>9.7500000000000003E-2</v>
      </c>
      <c r="F9" s="12">
        <f t="shared" si="0"/>
        <v>0.85568257626540545</v>
      </c>
      <c r="G9" s="12">
        <f>MIN(D9,Assumptions!$C$11*Assumptions!$C$15/4)</f>
        <v>0.15</v>
      </c>
      <c r="H9" s="12">
        <f t="shared" si="1"/>
        <v>29.567148625790242</v>
      </c>
      <c r="I9" s="12">
        <f t="shared" si="12"/>
        <v>40</v>
      </c>
      <c r="J9" s="5">
        <f>MAX(C9,Assumptions!$C$20)+Assumptions!$C$19/10000</f>
        <v>0.1225</v>
      </c>
      <c r="K9" s="12">
        <f t="shared" si="2"/>
        <v>1.2250000000000001</v>
      </c>
      <c r="L9" s="12">
        <f>MIN(I9,Assumptions!$C$18*Assumptions!$C$22/4)</f>
        <v>0</v>
      </c>
      <c r="M9" s="12">
        <f t="shared" si="3"/>
        <v>40</v>
      </c>
      <c r="N9" s="12">
        <f t="shared" si="4"/>
        <v>75.104926205760222</v>
      </c>
      <c r="O9" s="12">
        <f t="shared" si="5"/>
        <v>2.0806825762654055</v>
      </c>
      <c r="P9" s="12">
        <f t="shared" si="6"/>
        <v>0.15</v>
      </c>
      <c r="Q9" s="12">
        <f t="shared" si="7"/>
        <v>69.567148625790239</v>
      </c>
      <c r="R9" s="12">
        <f>Assumptions!$C$7*(1+Assumptions!$C$8)^(A9/4)/4</f>
        <v>13.449122880321973</v>
      </c>
      <c r="S9" s="12">
        <f>MAX(0,R9*Assumptions!$C$48-O9-P9)*Assumptions!$C$49</f>
        <v>5.3877775799699812</v>
      </c>
      <c r="T9" s="12">
        <f t="shared" si="8"/>
        <v>5.3877775799699812</v>
      </c>
      <c r="U9" s="12">
        <f t="shared" si="9"/>
        <v>0</v>
      </c>
      <c r="V9" s="12">
        <f t="shared" si="10"/>
        <v>5.3877775799699812</v>
      </c>
    </row>
    <row r="10" spans="1:22" x14ac:dyDescent="0.2">
      <c r="A10" s="2">
        <v>7</v>
      </c>
      <c r="B10" s="3">
        <f>'SOFR Curve'!B10</f>
        <v>46661</v>
      </c>
      <c r="C10" s="5">
        <f>'SOFR Curve'!C10</f>
        <v>4.2000000000000003E-2</v>
      </c>
      <c r="D10" s="12">
        <f t="shared" si="11"/>
        <v>29.567148625790242</v>
      </c>
      <c r="E10" s="5">
        <f>MAX(C10,Assumptions!$C$13)+Assumptions!$C$12/10000</f>
        <v>9.7000000000000003E-2</v>
      </c>
      <c r="F10" s="12">
        <f t="shared" si="0"/>
        <v>0.71700335417541339</v>
      </c>
      <c r="G10" s="12">
        <f>MIN(D10,Assumptions!$C$11*Assumptions!$C$15/4)</f>
        <v>0.15</v>
      </c>
      <c r="H10" s="12">
        <f t="shared" si="1"/>
        <v>23.834959965105327</v>
      </c>
      <c r="I10" s="12">
        <f t="shared" si="12"/>
        <v>40</v>
      </c>
      <c r="J10" s="5">
        <f>MAX(C10,Assumptions!$C$20)+Assumptions!$C$19/10000</f>
        <v>0.122</v>
      </c>
      <c r="K10" s="12">
        <f t="shared" si="2"/>
        <v>1.22</v>
      </c>
      <c r="L10" s="12">
        <f>MIN(I10,Assumptions!$C$18*Assumptions!$C$22/4)</f>
        <v>0</v>
      </c>
      <c r="M10" s="12">
        <f t="shared" si="3"/>
        <v>40</v>
      </c>
      <c r="N10" s="12">
        <f t="shared" si="4"/>
        <v>69.567148625790239</v>
      </c>
      <c r="O10" s="12">
        <f t="shared" si="5"/>
        <v>1.9370033541754133</v>
      </c>
      <c r="P10" s="12">
        <f t="shared" si="6"/>
        <v>0.15</v>
      </c>
      <c r="Q10" s="12">
        <f t="shared" si="7"/>
        <v>63.834959965105327</v>
      </c>
      <c r="R10" s="12">
        <f>Assumptions!$C$7*(1+Assumptions!$C$8)^(A10/4)/4</f>
        <v>13.614173669174241</v>
      </c>
      <c r="S10" s="12">
        <f>MAX(0,R10*Assumptions!$C$48-O10-P10)*Assumptions!$C$49</f>
        <v>5.5821886606849151</v>
      </c>
      <c r="T10" s="12">
        <f t="shared" si="8"/>
        <v>5.5821886606849151</v>
      </c>
      <c r="U10" s="12">
        <f t="shared" si="9"/>
        <v>0</v>
      </c>
      <c r="V10" s="12">
        <f t="shared" si="10"/>
        <v>5.5821886606849151</v>
      </c>
    </row>
    <row r="11" spans="1:22" x14ac:dyDescent="0.2">
      <c r="A11" s="2">
        <v>8</v>
      </c>
      <c r="B11" s="3">
        <f>'SOFR Curve'!B11</f>
        <v>46753</v>
      </c>
      <c r="C11" s="5">
        <f>'SOFR Curve'!C11</f>
        <v>4.1500000000000002E-2</v>
      </c>
      <c r="D11" s="12">
        <f t="shared" si="11"/>
        <v>23.834959965105327</v>
      </c>
      <c r="E11" s="5">
        <f>MAX(C11,Assumptions!$C$13)+Assumptions!$C$12/10000</f>
        <v>9.6500000000000002E-2</v>
      </c>
      <c r="F11" s="12">
        <f t="shared" si="0"/>
        <v>0.57501840915816604</v>
      </c>
      <c r="G11" s="12">
        <f>MIN(D11,Assumptions!$C$11*Assumptions!$C$15/4)</f>
        <v>0.15</v>
      </c>
      <c r="H11" s="12">
        <f t="shared" si="1"/>
        <v>17.904817521973953</v>
      </c>
      <c r="I11" s="12">
        <f t="shared" si="12"/>
        <v>40</v>
      </c>
      <c r="J11" s="5">
        <f>MAX(C11,Assumptions!$C$20)+Assumptions!$C$19/10000</f>
        <v>0.1215</v>
      </c>
      <c r="K11" s="12">
        <f t="shared" si="2"/>
        <v>1.2149999999999999</v>
      </c>
      <c r="L11" s="12">
        <f>MIN(I11,Assumptions!$C$18*Assumptions!$C$22/4)</f>
        <v>0</v>
      </c>
      <c r="M11" s="12">
        <f t="shared" si="3"/>
        <v>40</v>
      </c>
      <c r="N11" s="12">
        <f t="shared" si="4"/>
        <v>63.834959965105327</v>
      </c>
      <c r="O11" s="12">
        <f t="shared" si="5"/>
        <v>1.7900184091581659</v>
      </c>
      <c r="P11" s="12">
        <f t="shared" si="6"/>
        <v>0.15</v>
      </c>
      <c r="Q11" s="12">
        <f t="shared" si="7"/>
        <v>57.904817521973953</v>
      </c>
      <c r="R11" s="12">
        <f>Assumptions!$C$7*(1+Assumptions!$C$8)^(A11/4)/4</f>
        <v>13.78125</v>
      </c>
      <c r="S11" s="12">
        <f>MAX(0,R11*Assumptions!$C$48-O11-P11)*Assumptions!$C$49</f>
        <v>5.7801424431313748</v>
      </c>
      <c r="T11" s="12">
        <f t="shared" si="8"/>
        <v>5.7801424431313748</v>
      </c>
      <c r="U11" s="12">
        <f t="shared" si="9"/>
        <v>0</v>
      </c>
      <c r="V11" s="12">
        <f t="shared" si="10"/>
        <v>5.7801424431313748</v>
      </c>
    </row>
    <row r="12" spans="1:22" x14ac:dyDescent="0.2">
      <c r="A12" s="2">
        <v>9</v>
      </c>
      <c r="B12" s="3">
        <f>'SOFR Curve'!B12</f>
        <v>46844</v>
      </c>
      <c r="C12" s="5">
        <f>'SOFR Curve'!C12</f>
        <v>4.1000000000000002E-2</v>
      </c>
      <c r="D12" s="12">
        <f t="shared" si="11"/>
        <v>17.904817521973953</v>
      </c>
      <c r="E12" s="5">
        <f>MAX(C12,Assumptions!$C$13)+Assumptions!$C$12/10000</f>
        <v>9.6000000000000002E-2</v>
      </c>
      <c r="F12" s="12">
        <f t="shared" si="0"/>
        <v>0.42971562052737489</v>
      </c>
      <c r="G12" s="12">
        <f>MIN(D12,Assumptions!$C$11*Assumptions!$C$15/4)</f>
        <v>0.15</v>
      </c>
      <c r="H12" s="12">
        <f t="shared" si="1"/>
        <v>11.773156453738757</v>
      </c>
      <c r="I12" s="12">
        <f t="shared" si="12"/>
        <v>40</v>
      </c>
      <c r="J12" s="5">
        <f>MAX(C12,Assumptions!$C$20)+Assumptions!$C$19/10000</f>
        <v>0.121</v>
      </c>
      <c r="K12" s="12">
        <f t="shared" si="2"/>
        <v>1.21</v>
      </c>
      <c r="L12" s="12">
        <f>MIN(I12,Assumptions!$C$18*Assumptions!$C$22/4)</f>
        <v>0</v>
      </c>
      <c r="M12" s="12">
        <f t="shared" si="3"/>
        <v>40</v>
      </c>
      <c r="N12" s="12">
        <f t="shared" si="4"/>
        <v>57.904817521973953</v>
      </c>
      <c r="O12" s="12">
        <f t="shared" si="5"/>
        <v>1.6397156205273749</v>
      </c>
      <c r="P12" s="12">
        <f t="shared" si="6"/>
        <v>0.15</v>
      </c>
      <c r="Q12" s="12">
        <f t="shared" si="7"/>
        <v>51.773156453738757</v>
      </c>
      <c r="R12" s="12">
        <f>Assumptions!$C$7*(1+Assumptions!$C$8)^(A12/4)/4</f>
        <v>13.9503767307252</v>
      </c>
      <c r="S12" s="12">
        <f>MAX(0,R12*Assumptions!$C$48-O12-P12)*Assumptions!$C$49</f>
        <v>5.9816610682351987</v>
      </c>
      <c r="T12" s="12">
        <f t="shared" si="8"/>
        <v>5.9816610682351987</v>
      </c>
      <c r="U12" s="12">
        <f t="shared" si="9"/>
        <v>0</v>
      </c>
      <c r="V12" s="12">
        <f t="shared" si="10"/>
        <v>5.9816610682351987</v>
      </c>
    </row>
    <row r="13" spans="1:22" x14ac:dyDescent="0.2">
      <c r="A13" s="2">
        <v>10</v>
      </c>
      <c r="B13" s="3">
        <f>'SOFR Curve'!B13</f>
        <v>46935</v>
      </c>
      <c r="C13" s="5">
        <f>'SOFR Curve'!C13</f>
        <v>4.0500000000000001E-2</v>
      </c>
      <c r="D13" s="12">
        <f t="shared" si="11"/>
        <v>11.773156453738757</v>
      </c>
      <c r="E13" s="5">
        <f>MAX(C13,Assumptions!$C$13)+Assumptions!$C$12/10000</f>
        <v>9.5500000000000002E-2</v>
      </c>
      <c r="F13" s="12">
        <f t="shared" si="0"/>
        <v>0.28108411033301284</v>
      </c>
      <c r="G13" s="12">
        <f>MIN(D13,Assumptions!$C$11*Assumptions!$C$15/4)</f>
        <v>0.15</v>
      </c>
      <c r="H13" s="12">
        <f t="shared" si="1"/>
        <v>5.4363905487110298</v>
      </c>
      <c r="I13" s="12">
        <f t="shared" si="12"/>
        <v>40</v>
      </c>
      <c r="J13" s="5">
        <f>MAX(C13,Assumptions!$C$20)+Assumptions!$C$19/10000</f>
        <v>0.1205</v>
      </c>
      <c r="K13" s="12">
        <f t="shared" si="2"/>
        <v>1.2050000000000001</v>
      </c>
      <c r="L13" s="12">
        <f>MIN(I13,Assumptions!$C$18*Assumptions!$C$22/4)</f>
        <v>0</v>
      </c>
      <c r="M13" s="12">
        <f t="shared" si="3"/>
        <v>40</v>
      </c>
      <c r="N13" s="12">
        <f t="shared" si="4"/>
        <v>51.773156453738757</v>
      </c>
      <c r="O13" s="12">
        <f t="shared" si="5"/>
        <v>1.4860841103330129</v>
      </c>
      <c r="P13" s="12">
        <f t="shared" si="6"/>
        <v>0.15</v>
      </c>
      <c r="Q13" s="12">
        <f t="shared" si="7"/>
        <v>45.436390548711032</v>
      </c>
      <c r="R13" s="12">
        <f>Assumptions!$C$7*(1+Assumptions!$C$8)^(A13/4)/4</f>
        <v>14.121579024338073</v>
      </c>
      <c r="S13" s="12">
        <f>MAX(0,R13*Assumptions!$C$48-O13-P13)*Assumptions!$C$49</f>
        <v>6.1867659050277268</v>
      </c>
      <c r="T13" s="12">
        <f t="shared" si="8"/>
        <v>6.1867659050277268</v>
      </c>
      <c r="U13" s="12">
        <f t="shared" si="9"/>
        <v>0</v>
      </c>
      <c r="V13" s="12">
        <f t="shared" si="10"/>
        <v>6.1867659050277268</v>
      </c>
    </row>
    <row r="14" spans="1:22" x14ac:dyDescent="0.2">
      <c r="A14" s="2">
        <v>11</v>
      </c>
      <c r="B14" s="3">
        <f>'SOFR Curve'!B14</f>
        <v>47027</v>
      </c>
      <c r="C14" s="5">
        <f>'SOFR Curve'!C14</f>
        <v>0.04</v>
      </c>
      <c r="D14" s="12">
        <f t="shared" si="11"/>
        <v>5.4363905487110298</v>
      </c>
      <c r="E14" s="5">
        <f>MAX(C14,Assumptions!$C$13)+Assumptions!$C$12/10000</f>
        <v>9.5000000000000001E-2</v>
      </c>
      <c r="F14" s="12">
        <f t="shared" si="0"/>
        <v>0.12911427553188695</v>
      </c>
      <c r="G14" s="12">
        <f>MIN(D14,Assumptions!$C$11*Assumptions!$C$15/4)</f>
        <v>0.15</v>
      </c>
      <c r="H14" s="12">
        <f t="shared" si="1"/>
        <v>0</v>
      </c>
      <c r="I14" s="12">
        <f t="shared" si="12"/>
        <v>40</v>
      </c>
      <c r="J14" s="5">
        <f>MAX(C14,Assumptions!$C$20)+Assumptions!$C$19/10000</f>
        <v>0.12</v>
      </c>
      <c r="K14" s="12">
        <f t="shared" si="2"/>
        <v>1.2</v>
      </c>
      <c r="L14" s="12">
        <f>MIN(I14,Assumptions!$C$18*Assumptions!$C$22/4)</f>
        <v>0</v>
      </c>
      <c r="M14" s="12">
        <f t="shared" si="3"/>
        <v>38.890913020227643</v>
      </c>
      <c r="N14" s="12">
        <f t="shared" si="4"/>
        <v>45.436390548711032</v>
      </c>
      <c r="O14" s="12">
        <f t="shared" si="5"/>
        <v>1.329114275531887</v>
      </c>
      <c r="P14" s="12">
        <f t="shared" si="6"/>
        <v>0.15</v>
      </c>
      <c r="Q14" s="12">
        <f t="shared" si="7"/>
        <v>38.890913020227643</v>
      </c>
      <c r="R14" s="12">
        <f>Assumptions!$C$7*(1+Assumptions!$C$8)^(A14/4)/4</f>
        <v>14.294882352632953</v>
      </c>
      <c r="S14" s="12">
        <f>MAX(0,R14*Assumptions!$C$48-O14-P14)*Assumptions!$C$49</f>
        <v>6.3954775284833847</v>
      </c>
      <c r="T14" s="12">
        <f t="shared" si="8"/>
        <v>5.2863905487110294</v>
      </c>
      <c r="U14" s="12">
        <f t="shared" si="9"/>
        <v>1.1090869797723553</v>
      </c>
      <c r="V14" s="12">
        <f t="shared" si="10"/>
        <v>6.3954775284833847</v>
      </c>
    </row>
    <row r="15" spans="1:22" x14ac:dyDescent="0.2">
      <c r="A15" s="2">
        <v>12</v>
      </c>
      <c r="B15" s="3">
        <f>'SOFR Curve'!B15</f>
        <v>47119</v>
      </c>
      <c r="C15" s="5">
        <f>'SOFR Curve'!C15</f>
        <v>3.95E-2</v>
      </c>
      <c r="D15" s="12">
        <f t="shared" si="11"/>
        <v>0</v>
      </c>
      <c r="E15" s="5">
        <f>MAX(C15,Assumptions!$C$13)+Assumptions!$C$12/10000</f>
        <v>9.4500000000000001E-2</v>
      </c>
      <c r="F15" s="12">
        <f t="shared" si="0"/>
        <v>0</v>
      </c>
      <c r="G15" s="12">
        <f>MIN(D15,Assumptions!$C$11*Assumptions!$C$15/4)</f>
        <v>0</v>
      </c>
      <c r="H15" s="12">
        <f t="shared" si="1"/>
        <v>0</v>
      </c>
      <c r="I15" s="12">
        <f t="shared" si="12"/>
        <v>38.890913020227643</v>
      </c>
      <c r="J15" s="5">
        <f>MAX(C15,Assumptions!$C$20)+Assumptions!$C$19/10000</f>
        <v>0.1195</v>
      </c>
      <c r="K15" s="12">
        <f t="shared" si="2"/>
        <v>1.1618660264793008</v>
      </c>
      <c r="L15" s="12">
        <f>MIN(I15,Assumptions!$C$18*Assumptions!$C$22/4)</f>
        <v>0</v>
      </c>
      <c r="M15" s="12">
        <f t="shared" si="3"/>
        <v>32.165398477587118</v>
      </c>
      <c r="N15" s="12">
        <f t="shared" si="4"/>
        <v>38.890913020227643</v>
      </c>
      <c r="O15" s="12">
        <f t="shared" si="5"/>
        <v>1.1618660264793008</v>
      </c>
      <c r="P15" s="12">
        <f t="shared" si="6"/>
        <v>0</v>
      </c>
      <c r="Q15" s="12">
        <f t="shared" si="7"/>
        <v>32.165398477587118</v>
      </c>
      <c r="R15" s="12">
        <f>Assumptions!$C$7*(1+Assumptions!$C$8)^(A15/4)/4</f>
        <v>14.470312500000002</v>
      </c>
      <c r="S15" s="12">
        <f>MAX(0,R15*Assumptions!$C$48-O15-P15)*Assumptions!$C$49</f>
        <v>6.7255145426405258</v>
      </c>
      <c r="T15" s="12">
        <f t="shared" si="8"/>
        <v>0</v>
      </c>
      <c r="U15" s="12">
        <f t="shared" si="9"/>
        <v>6.7255145426405258</v>
      </c>
      <c r="V15" s="12">
        <f t="shared" si="10"/>
        <v>6.7255145426405258</v>
      </c>
    </row>
    <row r="16" spans="1:22" x14ac:dyDescent="0.2">
      <c r="A16" s="2">
        <v>13</v>
      </c>
      <c r="B16" s="3">
        <f>'SOFR Curve'!B16</f>
        <v>47209</v>
      </c>
      <c r="C16" s="5">
        <f>'SOFR Curve'!C16</f>
        <v>3.9E-2</v>
      </c>
      <c r="D16" s="12">
        <f t="shared" si="11"/>
        <v>0</v>
      </c>
      <c r="E16" s="5">
        <f>MAX(C16,Assumptions!$C$13)+Assumptions!$C$12/10000</f>
        <v>9.4E-2</v>
      </c>
      <c r="F16" s="12">
        <f t="shared" si="0"/>
        <v>0</v>
      </c>
      <c r="G16" s="12">
        <f>MIN(D16,Assumptions!$C$11*Assumptions!$C$15/4)</f>
        <v>0</v>
      </c>
      <c r="H16" s="12">
        <f t="shared" si="1"/>
        <v>0</v>
      </c>
      <c r="I16" s="12">
        <f t="shared" si="12"/>
        <v>32.165398477587118</v>
      </c>
      <c r="J16" s="5">
        <f>MAX(C16,Assumptions!$C$20)+Assumptions!$C$19/10000</f>
        <v>0.11899999999999999</v>
      </c>
      <c r="K16" s="12">
        <f t="shared" si="2"/>
        <v>0.95692060470821672</v>
      </c>
      <c r="L16" s="12">
        <f>MIN(I16,Assumptions!$C$18*Assumptions!$C$22/4)</f>
        <v>0</v>
      </c>
      <c r="M16" s="12">
        <f t="shared" si="3"/>
        <v>25.192943758306015</v>
      </c>
      <c r="N16" s="12">
        <f t="shared" si="4"/>
        <v>32.165398477587118</v>
      </c>
      <c r="O16" s="12">
        <f t="shared" si="5"/>
        <v>0.95692060470821672</v>
      </c>
      <c r="P16" s="12">
        <f t="shared" si="6"/>
        <v>0</v>
      </c>
      <c r="Q16" s="12">
        <f t="shared" si="7"/>
        <v>25.192943758306015</v>
      </c>
      <c r="R16" s="12">
        <f>Assumptions!$C$7*(1+Assumptions!$C$8)^(A16/4)/4</f>
        <v>14.647895567261459</v>
      </c>
      <c r="S16" s="12">
        <f>MAX(0,R16*Assumptions!$C$48-O16-P16)*Assumptions!$C$49</f>
        <v>6.9724547192811031</v>
      </c>
      <c r="T16" s="12">
        <f t="shared" si="8"/>
        <v>0</v>
      </c>
      <c r="U16" s="12">
        <f t="shared" si="9"/>
        <v>6.9724547192811031</v>
      </c>
      <c r="V16" s="12">
        <f t="shared" si="10"/>
        <v>6.9724547192811031</v>
      </c>
    </row>
    <row r="17" spans="1:22" x14ac:dyDescent="0.2">
      <c r="A17" s="2">
        <v>14</v>
      </c>
      <c r="B17" s="3">
        <f>'SOFR Curve'!B17</f>
        <v>47300</v>
      </c>
      <c r="C17" s="5">
        <f>'SOFR Curve'!C17</f>
        <v>3.85E-2</v>
      </c>
      <c r="D17" s="12">
        <f t="shared" si="11"/>
        <v>0</v>
      </c>
      <c r="E17" s="5">
        <f>MAX(C17,Assumptions!$C$13)+Assumptions!$C$12/10000</f>
        <v>9.35E-2</v>
      </c>
      <c r="F17" s="12">
        <f t="shared" si="0"/>
        <v>0</v>
      </c>
      <c r="G17" s="12">
        <f>MIN(D17,Assumptions!$C$11*Assumptions!$C$15/4)</f>
        <v>0</v>
      </c>
      <c r="H17" s="12">
        <f t="shared" si="1"/>
        <v>0</v>
      </c>
      <c r="I17" s="12">
        <f t="shared" si="12"/>
        <v>25.192943758306015</v>
      </c>
      <c r="J17" s="5">
        <f>MAX(C17,Assumptions!$C$20)+Assumptions!$C$19/10000</f>
        <v>0.11849999999999999</v>
      </c>
      <c r="K17" s="12">
        <f t="shared" si="2"/>
        <v>0.74634095883981566</v>
      </c>
      <c r="L17" s="12">
        <f>MIN(I17,Assumptions!$C$18*Assumptions!$C$22/4)</f>
        <v>0</v>
      </c>
      <c r="M17" s="12">
        <f t="shared" si="3"/>
        <v>17.968179040269515</v>
      </c>
      <c r="N17" s="12">
        <f t="shared" si="4"/>
        <v>25.192943758306015</v>
      </c>
      <c r="O17" s="12">
        <f t="shared" si="5"/>
        <v>0.74634095883981566</v>
      </c>
      <c r="P17" s="12">
        <f t="shared" si="6"/>
        <v>0</v>
      </c>
      <c r="Q17" s="12">
        <f t="shared" si="7"/>
        <v>17.968179040269515</v>
      </c>
      <c r="R17" s="12">
        <f>Assumptions!$C$7*(1+Assumptions!$C$8)^(A17/4)/4</f>
        <v>14.827657975554978</v>
      </c>
      <c r="S17" s="12">
        <f>MAX(0,R17*Assumptions!$C$48-O17-P17)*Assumptions!$C$49</f>
        <v>7.2247647180365009</v>
      </c>
      <c r="T17" s="12">
        <f t="shared" si="8"/>
        <v>0</v>
      </c>
      <c r="U17" s="12">
        <f t="shared" si="9"/>
        <v>7.2247647180365009</v>
      </c>
      <c r="V17" s="12">
        <f t="shared" si="10"/>
        <v>7.2247647180365009</v>
      </c>
    </row>
    <row r="18" spans="1:22" x14ac:dyDescent="0.2">
      <c r="A18" s="2">
        <v>15</v>
      </c>
      <c r="B18" s="3">
        <f>'SOFR Curve'!B18</f>
        <v>47392</v>
      </c>
      <c r="C18" s="5">
        <f>'SOFR Curve'!C18</f>
        <v>3.7999999999999999E-2</v>
      </c>
      <c r="D18" s="12">
        <f t="shared" si="11"/>
        <v>0</v>
      </c>
      <c r="E18" s="5">
        <f>MAX(C18,Assumptions!$C$13)+Assumptions!$C$12/10000</f>
        <v>9.2999999999999999E-2</v>
      </c>
      <c r="F18" s="12">
        <f t="shared" si="0"/>
        <v>0</v>
      </c>
      <c r="G18" s="12">
        <f>MIN(D18,Assumptions!$C$11*Assumptions!$C$15/4)</f>
        <v>0</v>
      </c>
      <c r="H18" s="12">
        <f t="shared" si="1"/>
        <v>0</v>
      </c>
      <c r="I18" s="12">
        <f t="shared" si="12"/>
        <v>17.968179040269515</v>
      </c>
      <c r="J18" s="5">
        <f>MAX(C18,Assumptions!$C$20)+Assumptions!$C$19/10000</f>
        <v>0.11799999999999999</v>
      </c>
      <c r="K18" s="12">
        <f t="shared" si="2"/>
        <v>0.53006128168795064</v>
      </c>
      <c r="L18" s="12">
        <f>MIN(I18,Assumptions!$C$18*Assumptions!$C$22/4)</f>
        <v>0</v>
      </c>
      <c r="M18" s="12">
        <f t="shared" si="3"/>
        <v>10.485671104646562</v>
      </c>
      <c r="N18" s="12">
        <f t="shared" si="4"/>
        <v>17.968179040269515</v>
      </c>
      <c r="O18" s="12">
        <f t="shared" si="5"/>
        <v>0.53006128168795064</v>
      </c>
      <c r="P18" s="12">
        <f t="shared" si="6"/>
        <v>0</v>
      </c>
      <c r="Q18" s="12">
        <f t="shared" si="7"/>
        <v>10.485671104646562</v>
      </c>
      <c r="R18" s="12">
        <f>Assumptions!$C$7*(1+Assumptions!$C$8)^(A18/4)/4</f>
        <v>15.009626470264603</v>
      </c>
      <c r="S18" s="12">
        <f>MAX(0,R18*Assumptions!$C$48-O18-P18)*Assumptions!$C$49</f>
        <v>7.4825079356229534</v>
      </c>
      <c r="T18" s="12">
        <f t="shared" si="8"/>
        <v>0</v>
      </c>
      <c r="U18" s="12">
        <f t="shared" si="9"/>
        <v>7.4825079356229534</v>
      </c>
      <c r="V18" s="12">
        <f t="shared" si="10"/>
        <v>7.4825079356229534</v>
      </c>
    </row>
    <row r="19" spans="1:22" x14ac:dyDescent="0.2">
      <c r="A19" s="2">
        <v>16</v>
      </c>
      <c r="B19" s="3">
        <f>'SOFR Curve'!B19</f>
        <v>47484</v>
      </c>
      <c r="C19" s="5">
        <f>'SOFR Curve'!C19</f>
        <v>3.7499999999999999E-2</v>
      </c>
      <c r="D19" s="12">
        <f t="shared" si="11"/>
        <v>0</v>
      </c>
      <c r="E19" s="5">
        <f>MAX(C19,Assumptions!$C$13)+Assumptions!$C$12/10000</f>
        <v>9.2499999999999999E-2</v>
      </c>
      <c r="F19" s="12">
        <f t="shared" si="0"/>
        <v>0</v>
      </c>
      <c r="G19" s="12">
        <f>MIN(D19,Assumptions!$C$11*Assumptions!$C$15/4)</f>
        <v>0</v>
      </c>
      <c r="H19" s="12">
        <f t="shared" si="1"/>
        <v>0</v>
      </c>
      <c r="I19" s="12">
        <f t="shared" si="12"/>
        <v>10.485671104646562</v>
      </c>
      <c r="J19" s="5">
        <f>MAX(C19,Assumptions!$C$20)+Assumptions!$C$19/10000</f>
        <v>0.11749999999999999</v>
      </c>
      <c r="K19" s="12">
        <f t="shared" si="2"/>
        <v>0.30801658869899273</v>
      </c>
      <c r="L19" s="12">
        <f>MIN(I19,Assumptions!$C$18*Assumptions!$C$22/4)</f>
        <v>0</v>
      </c>
      <c r="M19" s="12">
        <f t="shared" si="3"/>
        <v>2.7399237805458059</v>
      </c>
      <c r="N19" s="12">
        <f t="shared" si="4"/>
        <v>10.485671104646562</v>
      </c>
      <c r="O19" s="12">
        <f t="shared" si="5"/>
        <v>0.30801658869899273</v>
      </c>
      <c r="P19" s="12">
        <f t="shared" si="6"/>
        <v>0</v>
      </c>
      <c r="Q19" s="12">
        <f t="shared" si="7"/>
        <v>2.7399237805458059</v>
      </c>
      <c r="R19" s="12">
        <f>Assumptions!$C$7*(1+Assumptions!$C$8)^(A19/4)/4</f>
        <v>15.193828125</v>
      </c>
      <c r="S19" s="12">
        <f>MAX(0,R19*Assumptions!$C$48-O19-P19)*Assumptions!$C$49</f>
        <v>7.7457473241007557</v>
      </c>
      <c r="T19" s="12">
        <f t="shared" si="8"/>
        <v>0</v>
      </c>
      <c r="U19" s="12">
        <f t="shared" si="9"/>
        <v>7.7457473241007557</v>
      </c>
      <c r="V19" s="12">
        <f t="shared" si="10"/>
        <v>7.7457473241007557</v>
      </c>
    </row>
    <row r="20" spans="1:22" x14ac:dyDescent="0.2">
      <c r="A20" s="2">
        <v>17</v>
      </c>
      <c r="B20" s="3">
        <f>'SOFR Curve'!B20</f>
        <v>47574</v>
      </c>
      <c r="C20" s="5">
        <f>'SOFR Curve'!C20</f>
        <v>3.6999999999999998E-2</v>
      </c>
      <c r="D20" s="12">
        <f t="shared" si="11"/>
        <v>0</v>
      </c>
      <c r="E20" s="5">
        <f>MAX(C20,Assumptions!$C$13)+Assumptions!$C$12/10000</f>
        <v>9.1999999999999998E-2</v>
      </c>
      <c r="F20" s="12">
        <f t="shared" si="0"/>
        <v>0</v>
      </c>
      <c r="G20" s="12">
        <f>MIN(D20,Assumptions!$C$11*Assumptions!$C$15/4)</f>
        <v>0</v>
      </c>
      <c r="H20" s="12">
        <f t="shared" si="1"/>
        <v>0</v>
      </c>
      <c r="I20" s="12">
        <f t="shared" si="12"/>
        <v>2.7399237805458059</v>
      </c>
      <c r="J20" s="5">
        <f>MAX(C20,Assumptions!$C$20)+Assumptions!$C$19/10000</f>
        <v>0.11699999999999999</v>
      </c>
      <c r="K20" s="12">
        <f t="shared" si="2"/>
        <v>8.014277058096482E-2</v>
      </c>
      <c r="L20" s="12">
        <f>MIN(I20,Assumptions!$C$18*Assumptions!$C$22/4)</f>
        <v>0</v>
      </c>
      <c r="M20" s="12">
        <f t="shared" si="3"/>
        <v>0</v>
      </c>
      <c r="N20" s="12">
        <f t="shared" si="4"/>
        <v>2.7399237805458059</v>
      </c>
      <c r="O20" s="12">
        <f t="shared" si="5"/>
        <v>8.014277058096482E-2</v>
      </c>
      <c r="P20" s="12">
        <f t="shared" si="6"/>
        <v>0</v>
      </c>
      <c r="Q20" s="12">
        <f t="shared" si="7"/>
        <v>0</v>
      </c>
      <c r="R20" s="12">
        <f>Assumptions!$C$7*(1+Assumptions!$C$8)^(A20/4)/4</f>
        <v>15.380290345624534</v>
      </c>
      <c r="S20" s="12">
        <f>MAX(0,R20*Assumptions!$C$48-O20-P20)*Assumptions!$C$49</f>
        <v>8.0145453535171569</v>
      </c>
      <c r="T20" s="12">
        <f t="shared" si="8"/>
        <v>0</v>
      </c>
      <c r="U20" s="12">
        <f t="shared" si="9"/>
        <v>2.7399237805458059</v>
      </c>
      <c r="V20" s="12">
        <f t="shared" si="10"/>
        <v>2.7399237805458059</v>
      </c>
    </row>
    <row r="21" spans="1:22" x14ac:dyDescent="0.2">
      <c r="A21" s="2">
        <v>18</v>
      </c>
      <c r="B21" s="3">
        <f>'SOFR Curve'!B21</f>
        <v>47665</v>
      </c>
      <c r="C21" s="5">
        <f>'SOFR Curve'!C21</f>
        <v>3.6499999999999998E-2</v>
      </c>
      <c r="D21" s="12">
        <f t="shared" si="11"/>
        <v>0</v>
      </c>
      <c r="E21" s="5">
        <f>MAX(C21,Assumptions!$C$13)+Assumptions!$C$12/10000</f>
        <v>9.1499999999999998E-2</v>
      </c>
      <c r="F21" s="12">
        <f t="shared" si="0"/>
        <v>0</v>
      </c>
      <c r="G21" s="12">
        <f>MIN(D21,Assumptions!$C$11*Assumptions!$C$15/4)</f>
        <v>0</v>
      </c>
      <c r="H21" s="12">
        <f t="shared" si="1"/>
        <v>0</v>
      </c>
      <c r="I21" s="12">
        <f t="shared" si="12"/>
        <v>0</v>
      </c>
      <c r="J21" s="5">
        <f>MAX(C21,Assumptions!$C$20)+Assumptions!$C$19/10000</f>
        <v>0.11649999999999999</v>
      </c>
      <c r="K21" s="12">
        <f t="shared" si="2"/>
        <v>0</v>
      </c>
      <c r="L21" s="12">
        <f>MIN(I21,Assumptions!$C$18*Assumptions!$C$22/4)</f>
        <v>0</v>
      </c>
      <c r="M21" s="12">
        <f t="shared" si="3"/>
        <v>0</v>
      </c>
      <c r="N21" s="12">
        <f t="shared" si="4"/>
        <v>0</v>
      </c>
      <c r="O21" s="12">
        <f t="shared" si="5"/>
        <v>0</v>
      </c>
      <c r="P21" s="12">
        <f t="shared" si="6"/>
        <v>0</v>
      </c>
      <c r="Q21" s="12">
        <f t="shared" si="7"/>
        <v>0</v>
      </c>
      <c r="R21" s="12">
        <f>Assumptions!$C$7*(1+Assumptions!$C$8)^(A21/4)/4</f>
        <v>15.569040874332726</v>
      </c>
      <c r="S21" s="12">
        <f>MAX(0,R21*Assumptions!$C$48-O21-P21)*Assumptions!$C$49</f>
        <v>8.1737464590246809</v>
      </c>
      <c r="T21" s="12">
        <f t="shared" si="8"/>
        <v>0</v>
      </c>
      <c r="U21" s="12">
        <f t="shared" si="9"/>
        <v>0</v>
      </c>
      <c r="V21" s="12">
        <f t="shared" si="10"/>
        <v>0</v>
      </c>
    </row>
    <row r="22" spans="1:22" x14ac:dyDescent="0.2">
      <c r="A22" s="2">
        <v>19</v>
      </c>
      <c r="B22" s="3">
        <f>'SOFR Curve'!B22</f>
        <v>47757</v>
      </c>
      <c r="C22" s="5">
        <f>'SOFR Curve'!C22</f>
        <v>3.5999999999999997E-2</v>
      </c>
      <c r="D22" s="12">
        <f t="shared" si="11"/>
        <v>0</v>
      </c>
      <c r="E22" s="5">
        <f>MAX(C22,Assumptions!$C$13)+Assumptions!$C$12/10000</f>
        <v>9.0999999999999998E-2</v>
      </c>
      <c r="F22" s="12">
        <f t="shared" si="0"/>
        <v>0</v>
      </c>
      <c r="G22" s="12">
        <f>MIN(D22,Assumptions!$C$11*Assumptions!$C$15/4)</f>
        <v>0</v>
      </c>
      <c r="H22" s="12">
        <f t="shared" si="1"/>
        <v>0</v>
      </c>
      <c r="I22" s="12">
        <f t="shared" si="12"/>
        <v>0</v>
      </c>
      <c r="J22" s="5">
        <f>MAX(C22,Assumptions!$C$20)+Assumptions!$C$19/10000</f>
        <v>0.11599999999999999</v>
      </c>
      <c r="K22" s="12">
        <f t="shared" si="2"/>
        <v>0</v>
      </c>
      <c r="L22" s="12">
        <f>MIN(I22,Assumptions!$C$18*Assumptions!$C$22/4)</f>
        <v>0</v>
      </c>
      <c r="M22" s="12">
        <f t="shared" si="3"/>
        <v>0</v>
      </c>
      <c r="N22" s="12">
        <f t="shared" si="4"/>
        <v>0</v>
      </c>
      <c r="O22" s="12">
        <f t="shared" si="5"/>
        <v>0</v>
      </c>
      <c r="P22" s="12">
        <f t="shared" si="6"/>
        <v>0</v>
      </c>
      <c r="Q22" s="12">
        <f t="shared" si="7"/>
        <v>0</v>
      </c>
      <c r="R22" s="12">
        <f>Assumptions!$C$7*(1+Assumptions!$C$8)^(A22/4)/4</f>
        <v>15.760107793777834</v>
      </c>
      <c r="S22" s="12">
        <f>MAX(0,R22*Assumptions!$C$48-O22-P22)*Assumptions!$C$49</f>
        <v>8.2740565917333626</v>
      </c>
      <c r="T22" s="12">
        <f t="shared" si="8"/>
        <v>0</v>
      </c>
      <c r="U22" s="12">
        <f t="shared" si="9"/>
        <v>0</v>
      </c>
      <c r="V22" s="12">
        <f t="shared" si="10"/>
        <v>0</v>
      </c>
    </row>
    <row r="23" spans="1:22" x14ac:dyDescent="0.2">
      <c r="A23" s="2">
        <v>20</v>
      </c>
      <c r="B23" s="3">
        <f>'SOFR Curve'!B23</f>
        <v>47849</v>
      </c>
      <c r="C23" s="5">
        <f>'SOFR Curve'!C23</f>
        <v>3.5499999999999997E-2</v>
      </c>
      <c r="D23" s="12">
        <f t="shared" si="11"/>
        <v>0</v>
      </c>
      <c r="E23" s="5">
        <f>MAX(C23,Assumptions!$C$13)+Assumptions!$C$12/10000</f>
        <v>9.0499999999999997E-2</v>
      </c>
      <c r="F23" s="12">
        <f t="shared" si="0"/>
        <v>0</v>
      </c>
      <c r="G23" s="12">
        <f>MIN(D23,Assumptions!$C$11*Assumptions!$C$15/4)</f>
        <v>0</v>
      </c>
      <c r="H23" s="12">
        <f t="shared" si="1"/>
        <v>0</v>
      </c>
      <c r="I23" s="12">
        <f t="shared" si="12"/>
        <v>0</v>
      </c>
      <c r="J23" s="5">
        <f>MAX(C23,Assumptions!$C$20)+Assumptions!$C$19/10000</f>
        <v>0.11549999999999999</v>
      </c>
      <c r="K23" s="12">
        <f t="shared" si="2"/>
        <v>0</v>
      </c>
      <c r="L23" s="12">
        <f>MIN(I23,Assumptions!$C$18*Assumptions!$C$22/4)</f>
        <v>0</v>
      </c>
      <c r="M23" s="12">
        <f t="shared" si="3"/>
        <v>0</v>
      </c>
      <c r="N23" s="12">
        <f t="shared" si="4"/>
        <v>0</v>
      </c>
      <c r="O23" s="12">
        <f t="shared" si="5"/>
        <v>0</v>
      </c>
      <c r="P23" s="12">
        <f t="shared" si="6"/>
        <v>0</v>
      </c>
      <c r="Q23" s="12">
        <f t="shared" si="7"/>
        <v>0</v>
      </c>
      <c r="R23" s="12">
        <f>Assumptions!$C$7*(1+Assumptions!$C$8)^(A23/4)/4</f>
        <v>15.953519531250002</v>
      </c>
      <c r="S23" s="12">
        <f>MAX(0,R23*Assumptions!$C$48-O23-P23)*Assumptions!$C$49</f>
        <v>8.3755977539062521</v>
      </c>
      <c r="T23" s="12">
        <f t="shared" si="8"/>
        <v>0</v>
      </c>
      <c r="U23" s="12">
        <f t="shared" si="9"/>
        <v>0</v>
      </c>
      <c r="V23" s="12">
        <f t="shared" si="10"/>
        <v>0</v>
      </c>
    </row>
  </sheetData>
  <mergeCells count="1">
    <mergeCell ref="B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M1" sqref="M1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12" width="14" customWidth="1"/>
  </cols>
  <sheetData>
    <row r="1" spans="1:12" ht="19" x14ac:dyDescent="0.2">
      <c r="B1" s="18" t="s">
        <v>67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ht="30" x14ac:dyDescent="0.2">
      <c r="A3" s="14" t="s">
        <v>43</v>
      </c>
      <c r="B3" s="14" t="s">
        <v>44</v>
      </c>
      <c r="C3" s="14" t="s">
        <v>68</v>
      </c>
      <c r="D3" s="14" t="s">
        <v>69</v>
      </c>
      <c r="E3" s="14" t="s">
        <v>70</v>
      </c>
      <c r="F3" s="14" t="s">
        <v>71</v>
      </c>
      <c r="G3" s="14" t="s">
        <v>72</v>
      </c>
      <c r="H3" s="14" t="s">
        <v>73</v>
      </c>
      <c r="I3" s="14" t="s">
        <v>74</v>
      </c>
      <c r="J3" s="14" t="s">
        <v>75</v>
      </c>
      <c r="K3" s="14" t="s">
        <v>76</v>
      </c>
      <c r="L3" s="14" t="s">
        <v>77</v>
      </c>
    </row>
    <row r="4" spans="1:12" x14ac:dyDescent="0.2">
      <c r="A4" s="2">
        <f>'Debt Schedule'!A4</f>
        <v>1</v>
      </c>
      <c r="B4" s="3">
        <f>'Debt Schedule'!B4</f>
        <v>46113</v>
      </c>
      <c r="C4" s="12">
        <f>Assumptions!$C$7*(1+Assumptions!$C$8)^(A4/4)</f>
        <v>50.613611721451967</v>
      </c>
      <c r="D4" s="12">
        <f>'Debt Schedule'!Q4</f>
        <v>95.381963461559423</v>
      </c>
      <c r="E4" s="4">
        <f t="shared" ref="E4:E23" si="0">D4/C4</f>
        <v>1.8845120950167824</v>
      </c>
      <c r="F4" s="4">
        <f>IF(A4&lt;=8,Assumptions!$C$29,Assumptions!$C$30)</f>
        <v>6.5</v>
      </c>
      <c r="G4" s="4">
        <f t="shared" ref="G4:G23" si="1">F4-E4</f>
        <v>4.6154879049832171</v>
      </c>
      <c r="H4" s="12">
        <f>'Debt Schedule'!O4</f>
        <v>2.75</v>
      </c>
      <c r="I4" s="12">
        <f t="shared" ref="I4:I23" ca="1" si="2">SUM(OFFSET(H4,-MIN(3,A4-1),0,MIN(4,A4),1))*4/MIN(4,A4)</f>
        <v>11</v>
      </c>
      <c r="J4" s="4">
        <f t="shared" ref="J4:J23" ca="1" si="3">C4/I4</f>
        <v>4.6012374292229063</v>
      </c>
      <c r="K4" s="4">
        <f>Assumptions!$C$31</f>
        <v>2</v>
      </c>
      <c r="L4" s="15" t="str">
        <f t="shared" ref="L4:L23" ca="1" si="4">IF(AND(E4&lt;=F4,J4&gt;=K4),"Pass","Fail")</f>
        <v>Pass</v>
      </c>
    </row>
    <row r="5" spans="1:12" x14ac:dyDescent="0.2">
      <c r="A5" s="2">
        <f>'Debt Schedule'!A5</f>
        <v>2</v>
      </c>
      <c r="B5" s="3">
        <f>'Debt Schedule'!B5</f>
        <v>46204</v>
      </c>
      <c r="C5" s="12">
        <f>Assumptions!$C$7*(1+Assumptions!$C$8)^(A5/4)</f>
        <v>51.234753829797995</v>
      </c>
      <c r="D5" s="12">
        <f>'Debt Schedule'!Q5</f>
        <v>90.586871777228168</v>
      </c>
      <c r="E5" s="4">
        <f t="shared" si="0"/>
        <v>1.7680746955115276</v>
      </c>
      <c r="F5" s="4">
        <f>IF(A5&lt;=8,Assumptions!$C$29,Assumptions!$C$30)</f>
        <v>6.5</v>
      </c>
      <c r="G5" s="4">
        <f t="shared" si="1"/>
        <v>4.7319253044884722</v>
      </c>
      <c r="H5" s="12">
        <f>'Debt Schedule'!O5</f>
        <v>2.6226263411062911</v>
      </c>
      <c r="I5" s="12">
        <f t="shared" ca="1" si="2"/>
        <v>10.745252682212582</v>
      </c>
      <c r="J5" s="4">
        <f t="shared" ca="1" si="3"/>
        <v>4.7681292702041995</v>
      </c>
      <c r="K5" s="4">
        <f>Assumptions!$C$31</f>
        <v>2</v>
      </c>
      <c r="L5" s="15" t="str">
        <f t="shared" ca="1" si="4"/>
        <v>Pass</v>
      </c>
    </row>
    <row r="6" spans="1:12" x14ac:dyDescent="0.2">
      <c r="A6" s="2">
        <f>'Debt Schedule'!A6</f>
        <v>3</v>
      </c>
      <c r="B6" s="3">
        <f>'Debt Schedule'!B6</f>
        <v>46296</v>
      </c>
      <c r="C6" s="12">
        <f>Assumptions!$C$7*(1+Assumptions!$C$8)^(A6/4)</f>
        <v>51.863518739711388</v>
      </c>
      <c r="D6" s="12">
        <f>'Debt Schedule'!Q6</f>
        <v>85.611303750005845</v>
      </c>
      <c r="E6" s="4">
        <f t="shared" si="0"/>
        <v>1.6507037283695545</v>
      </c>
      <c r="F6" s="4">
        <f>IF(A6&lt;=8,Assumptions!$C$29,Assumptions!$C$30)</f>
        <v>6.5</v>
      </c>
      <c r="G6" s="4">
        <f t="shared" si="1"/>
        <v>4.8492962716304451</v>
      </c>
      <c r="H6" s="12">
        <f>'Debt Schedule'!O6</f>
        <v>2.4920250764863972</v>
      </c>
      <c r="I6" s="12">
        <f t="shared" ca="1" si="2"/>
        <v>10.486201890123583</v>
      </c>
      <c r="J6" s="4">
        <f t="shared" ca="1" si="3"/>
        <v>4.9458821490514104</v>
      </c>
      <c r="K6" s="4">
        <f>Assumptions!$C$31</f>
        <v>2</v>
      </c>
      <c r="L6" s="15" t="str">
        <f t="shared" ca="1" si="4"/>
        <v>Pass</v>
      </c>
    </row>
    <row r="7" spans="1:12" x14ac:dyDescent="0.2">
      <c r="A7" s="2">
        <f>'Debt Schedule'!A7</f>
        <v>4</v>
      </c>
      <c r="B7" s="3">
        <f>'Debt Schedule'!B7</f>
        <v>46388</v>
      </c>
      <c r="C7" s="12">
        <f>Assumptions!$C$7*(1+Assumptions!$C$8)^(A7/4)</f>
        <v>52.5</v>
      </c>
      <c r="D7" s="12">
        <f>'Debt Schedule'!Q7</f>
        <v>80.451812516138773</v>
      </c>
      <c r="E7" s="4">
        <f t="shared" si="0"/>
        <v>1.5324154764978815</v>
      </c>
      <c r="F7" s="4">
        <f>IF(A7&lt;=8,Assumptions!$C$29,Assumptions!$C$30)</f>
        <v>6.5</v>
      </c>
      <c r="G7" s="4">
        <f t="shared" si="1"/>
        <v>4.9675845235021185</v>
      </c>
      <c r="H7" s="12">
        <f>'Debt Schedule'!O7</f>
        <v>2.3581783548438939</v>
      </c>
      <c r="I7" s="12">
        <f t="shared" ca="1" si="2"/>
        <v>10.222829772436581</v>
      </c>
      <c r="J7" s="4">
        <f t="shared" ca="1" si="3"/>
        <v>5.1355643367508392</v>
      </c>
      <c r="K7" s="4">
        <f>Assumptions!$C$31</f>
        <v>2</v>
      </c>
      <c r="L7" s="15" t="str">
        <f t="shared" ca="1" si="4"/>
        <v>Pass</v>
      </c>
    </row>
    <row r="8" spans="1:12" x14ac:dyDescent="0.2">
      <c r="A8" s="2">
        <f>'Debt Schedule'!A8</f>
        <v>5</v>
      </c>
      <c r="B8" s="3">
        <f>'Debt Schedule'!B8</f>
        <v>46478</v>
      </c>
      <c r="C8" s="12">
        <f>Assumptions!$C$7*(1+Assumptions!$C$8)^(A8/4)</f>
        <v>53.144292307524566</v>
      </c>
      <c r="D8" s="12">
        <f>'Debt Schedule'!Q8</f>
        <v>75.104926205760222</v>
      </c>
      <c r="E8" s="4">
        <f t="shared" si="0"/>
        <v>1.4132265751354507</v>
      </c>
      <c r="F8" s="4">
        <f>IF(A8&lt;=8,Assumptions!$C$29,Assumptions!$C$30)</f>
        <v>6.5</v>
      </c>
      <c r="G8" s="4">
        <f t="shared" si="1"/>
        <v>5.0867734248645498</v>
      </c>
      <c r="H8" s="12">
        <f>'Debt Schedule'!O8</f>
        <v>2.2210694066454</v>
      </c>
      <c r="I8" s="12">
        <f t="shared" ca="1" si="2"/>
        <v>9.6938991790819813</v>
      </c>
      <c r="J8" s="4">
        <f t="shared" ca="1" si="3"/>
        <v>5.4822410802664612</v>
      </c>
      <c r="K8" s="4">
        <f>Assumptions!$C$31</f>
        <v>2</v>
      </c>
      <c r="L8" s="15" t="str">
        <f t="shared" ca="1" si="4"/>
        <v>Pass</v>
      </c>
    </row>
    <row r="9" spans="1:12" x14ac:dyDescent="0.2">
      <c r="A9" s="2">
        <f>'Debt Schedule'!A9</f>
        <v>6</v>
      </c>
      <c r="B9" s="3">
        <f>'Debt Schedule'!B9</f>
        <v>46569</v>
      </c>
      <c r="C9" s="12">
        <f>Assumptions!$C$7*(1+Assumptions!$C$8)^(A9/4)</f>
        <v>53.796491521287891</v>
      </c>
      <c r="D9" s="12">
        <f>'Debt Schedule'!Q9</f>
        <v>69.567148625790239</v>
      </c>
      <c r="E9" s="4">
        <f t="shared" si="0"/>
        <v>1.2931540079758124</v>
      </c>
      <c r="F9" s="4">
        <f>IF(A9&lt;=8,Assumptions!$C$29,Assumptions!$C$30)</f>
        <v>6.5</v>
      </c>
      <c r="G9" s="4">
        <f t="shared" si="1"/>
        <v>5.2068459920241876</v>
      </c>
      <c r="H9" s="12">
        <f>'Debt Schedule'!O9</f>
        <v>2.0806825762654055</v>
      </c>
      <c r="I9" s="12">
        <f t="shared" ca="1" si="2"/>
        <v>9.1519554142410975</v>
      </c>
      <c r="J9" s="4">
        <f t="shared" ca="1" si="3"/>
        <v>5.8781417835118273</v>
      </c>
      <c r="K9" s="4">
        <f>Assumptions!$C$31</f>
        <v>2</v>
      </c>
      <c r="L9" s="15" t="str">
        <f t="shared" ca="1" si="4"/>
        <v>Pass</v>
      </c>
    </row>
    <row r="10" spans="1:12" x14ac:dyDescent="0.2">
      <c r="A10" s="2">
        <f>'Debt Schedule'!A10</f>
        <v>7</v>
      </c>
      <c r="B10" s="3">
        <f>'Debt Schedule'!B10</f>
        <v>46661</v>
      </c>
      <c r="C10" s="12">
        <f>Assumptions!$C$7*(1+Assumptions!$C$8)^(A10/4)</f>
        <v>54.456694676696962</v>
      </c>
      <c r="D10" s="12">
        <f>'Debt Schedule'!Q10</f>
        <v>63.834959965105327</v>
      </c>
      <c r="E10" s="4">
        <f t="shared" si="0"/>
        <v>1.1722151031032277</v>
      </c>
      <c r="F10" s="4">
        <f>IF(A10&lt;=8,Assumptions!$C$29,Assumptions!$C$30)</f>
        <v>6.5</v>
      </c>
      <c r="G10" s="4">
        <f t="shared" si="1"/>
        <v>5.3277848968967723</v>
      </c>
      <c r="H10" s="12">
        <f>'Debt Schedule'!O10</f>
        <v>1.9370033541754133</v>
      </c>
      <c r="I10" s="12">
        <f t="shared" ca="1" si="2"/>
        <v>8.5969336919301114</v>
      </c>
      <c r="J10" s="4">
        <f t="shared" ca="1" si="3"/>
        <v>6.3344323253086303</v>
      </c>
      <c r="K10" s="4">
        <f>Assumptions!$C$31</f>
        <v>2</v>
      </c>
      <c r="L10" s="15" t="str">
        <f t="shared" ca="1" si="4"/>
        <v>Pass</v>
      </c>
    </row>
    <row r="11" spans="1:12" x14ac:dyDescent="0.2">
      <c r="A11" s="2">
        <f>'Debt Schedule'!A11</f>
        <v>8</v>
      </c>
      <c r="B11" s="3">
        <f>'Debt Schedule'!B11</f>
        <v>46753</v>
      </c>
      <c r="C11" s="12">
        <f>Assumptions!$C$7*(1+Assumptions!$C$8)^(A11/4)</f>
        <v>55.125</v>
      </c>
      <c r="D11" s="12">
        <f>'Debt Schedule'!Q11</f>
        <v>57.904817521973953</v>
      </c>
      <c r="E11" s="4">
        <f t="shared" si="0"/>
        <v>1.0504275287432916</v>
      </c>
      <c r="F11" s="4">
        <f>IF(A11&lt;=8,Assumptions!$C$29,Assumptions!$C$30)</f>
        <v>6.5</v>
      </c>
      <c r="G11" s="4">
        <f t="shared" si="1"/>
        <v>5.4495724712567082</v>
      </c>
      <c r="H11" s="12">
        <f>'Debt Schedule'!O11</f>
        <v>1.7900184091581659</v>
      </c>
      <c r="I11" s="12">
        <f t="shared" ca="1" si="2"/>
        <v>8.0287737462443847</v>
      </c>
      <c r="J11" s="4">
        <f t="shared" ca="1" si="3"/>
        <v>6.8659301833964115</v>
      </c>
      <c r="K11" s="4">
        <f>Assumptions!$C$31</f>
        <v>2</v>
      </c>
      <c r="L11" s="15" t="str">
        <f t="shared" ca="1" si="4"/>
        <v>Pass</v>
      </c>
    </row>
    <row r="12" spans="1:12" x14ac:dyDescent="0.2">
      <c r="A12" s="2">
        <f>'Debt Schedule'!A12</f>
        <v>9</v>
      </c>
      <c r="B12" s="3">
        <f>'Debt Schedule'!B12</f>
        <v>46844</v>
      </c>
      <c r="C12" s="12">
        <f>Assumptions!$C$7*(1+Assumptions!$C$8)^(A12/4)</f>
        <v>55.801506922900799</v>
      </c>
      <c r="D12" s="12">
        <f>'Debt Schedule'!Q12</f>
        <v>51.773156453738757</v>
      </c>
      <c r="E12" s="4">
        <f t="shared" si="0"/>
        <v>0.92780928882928038</v>
      </c>
      <c r="F12" s="4">
        <f>IF(A12&lt;=8,Assumptions!$C$29,Assumptions!$C$30)</f>
        <v>6</v>
      </c>
      <c r="G12" s="4">
        <f t="shared" si="1"/>
        <v>5.0721907111707196</v>
      </c>
      <c r="H12" s="12">
        <f>'Debt Schedule'!O12</f>
        <v>1.6397156205273749</v>
      </c>
      <c r="I12" s="12">
        <f t="shared" ca="1" si="2"/>
        <v>7.4474199601263598</v>
      </c>
      <c r="J12" s="4">
        <f t="shared" ca="1" si="3"/>
        <v>7.4927299953088751</v>
      </c>
      <c r="K12" s="4">
        <f>Assumptions!$C$31</f>
        <v>2</v>
      </c>
      <c r="L12" s="15" t="str">
        <f t="shared" ca="1" si="4"/>
        <v>Pass</v>
      </c>
    </row>
    <row r="13" spans="1:12" x14ac:dyDescent="0.2">
      <c r="A13" s="2">
        <f>'Debt Schedule'!A13</f>
        <v>10</v>
      </c>
      <c r="B13" s="3">
        <f>'Debt Schedule'!B13</f>
        <v>46935</v>
      </c>
      <c r="C13" s="12">
        <f>Assumptions!$C$7*(1+Assumptions!$C$8)^(A13/4)</f>
        <v>56.486316097352294</v>
      </c>
      <c r="D13" s="12">
        <f>'Debt Schedule'!Q13</f>
        <v>45.436390548711032</v>
      </c>
      <c r="E13" s="4">
        <f t="shared" si="0"/>
        <v>0.80437871838558062</v>
      </c>
      <c r="F13" s="4">
        <f>IF(A13&lt;=8,Assumptions!$C$29,Assumptions!$C$30)</f>
        <v>6</v>
      </c>
      <c r="G13" s="4">
        <f t="shared" si="1"/>
        <v>5.1956212816144198</v>
      </c>
      <c r="H13" s="12">
        <f>'Debt Schedule'!O13</f>
        <v>1.4860841103330129</v>
      </c>
      <c r="I13" s="12">
        <f t="shared" ca="1" si="2"/>
        <v>6.8528214941939671</v>
      </c>
      <c r="J13" s="4">
        <f t="shared" ca="1" si="3"/>
        <v>8.2427823554444188</v>
      </c>
      <c r="K13" s="4">
        <f>Assumptions!$C$31</f>
        <v>2</v>
      </c>
      <c r="L13" s="15" t="str">
        <f t="shared" ca="1" si="4"/>
        <v>Pass</v>
      </c>
    </row>
    <row r="14" spans="1:12" x14ac:dyDescent="0.2">
      <c r="A14" s="2">
        <f>'Debt Schedule'!A14</f>
        <v>11</v>
      </c>
      <c r="B14" s="3">
        <f>'Debt Schedule'!B14</f>
        <v>47027</v>
      </c>
      <c r="C14" s="12">
        <f>Assumptions!$C$7*(1+Assumptions!$C$8)^(A14/4)</f>
        <v>57.179529410531813</v>
      </c>
      <c r="D14" s="12">
        <f>'Debt Schedule'!Q14</f>
        <v>38.890913020227643</v>
      </c>
      <c r="E14" s="4">
        <f t="shared" si="0"/>
        <v>0.68015447872966195</v>
      </c>
      <c r="F14" s="4">
        <f>IF(A14&lt;=8,Assumptions!$C$29,Assumptions!$C$30)</f>
        <v>6</v>
      </c>
      <c r="G14" s="4">
        <f t="shared" si="1"/>
        <v>5.3198455212703379</v>
      </c>
      <c r="H14" s="12">
        <f>'Debt Schedule'!O14</f>
        <v>1.329114275531887</v>
      </c>
      <c r="I14" s="12">
        <f t="shared" ca="1" si="2"/>
        <v>6.2449324155504407</v>
      </c>
      <c r="J14" s="4">
        <f t="shared" ca="1" si="3"/>
        <v>9.1561486347153522</v>
      </c>
      <c r="K14" s="4">
        <f>Assumptions!$C$31</f>
        <v>2</v>
      </c>
      <c r="L14" s="15" t="str">
        <f t="shared" ca="1" si="4"/>
        <v>Pass</v>
      </c>
    </row>
    <row r="15" spans="1:12" x14ac:dyDescent="0.2">
      <c r="A15" s="2">
        <f>'Debt Schedule'!A15</f>
        <v>12</v>
      </c>
      <c r="B15" s="3">
        <f>'Debt Schedule'!B15</f>
        <v>47119</v>
      </c>
      <c r="C15" s="12">
        <f>Assumptions!$C$7*(1+Assumptions!$C$8)^(A15/4)</f>
        <v>57.881250000000009</v>
      </c>
      <c r="D15" s="12">
        <f>'Debt Schedule'!Q15</f>
        <v>32.165398477587118</v>
      </c>
      <c r="E15" s="4">
        <f t="shared" si="0"/>
        <v>0.555713611533737</v>
      </c>
      <c r="F15" s="4">
        <f>IF(A15&lt;=8,Assumptions!$C$29,Assumptions!$C$30)</f>
        <v>6</v>
      </c>
      <c r="G15" s="4">
        <f t="shared" si="1"/>
        <v>5.4442863884662627</v>
      </c>
      <c r="H15" s="12">
        <f>'Debt Schedule'!O15</f>
        <v>1.1618660264793008</v>
      </c>
      <c r="I15" s="12">
        <f t="shared" ca="1" si="2"/>
        <v>5.616780032871576</v>
      </c>
      <c r="J15" s="4">
        <f t="shared" ca="1" si="3"/>
        <v>10.305059066094181</v>
      </c>
      <c r="K15" s="4">
        <f>Assumptions!$C$31</f>
        <v>2</v>
      </c>
      <c r="L15" s="15" t="str">
        <f t="shared" ca="1" si="4"/>
        <v>Pass</v>
      </c>
    </row>
    <row r="16" spans="1:12" x14ac:dyDescent="0.2">
      <c r="A16" s="2">
        <f>'Debt Schedule'!A16</f>
        <v>13</v>
      </c>
      <c r="B16" s="3">
        <f>'Debt Schedule'!B16</f>
        <v>47209</v>
      </c>
      <c r="C16" s="12">
        <f>Assumptions!$C$7*(1+Assumptions!$C$8)^(A16/4)</f>
        <v>58.591582269045837</v>
      </c>
      <c r="D16" s="12">
        <f>'Debt Schedule'!Q16</f>
        <v>25.192943758306015</v>
      </c>
      <c r="E16" s="4">
        <f t="shared" si="0"/>
        <v>0.4299754808228749</v>
      </c>
      <c r="F16" s="4">
        <f>IF(A16&lt;=8,Assumptions!$C$29,Assumptions!$C$30)</f>
        <v>6</v>
      </c>
      <c r="G16" s="4">
        <f t="shared" si="1"/>
        <v>5.5700245191771254</v>
      </c>
      <c r="H16" s="12">
        <f>'Debt Schedule'!O16</f>
        <v>0.95692060470821672</v>
      </c>
      <c r="I16" s="12">
        <f t="shared" ca="1" si="2"/>
        <v>4.9339850170524171</v>
      </c>
      <c r="J16" s="4">
        <f t="shared" ca="1" si="3"/>
        <v>11.875103403546346</v>
      </c>
      <c r="K16" s="4">
        <f>Assumptions!$C$31</f>
        <v>2</v>
      </c>
      <c r="L16" s="15" t="str">
        <f t="shared" ca="1" si="4"/>
        <v>Pass</v>
      </c>
    </row>
    <row r="17" spans="1:12" x14ac:dyDescent="0.2">
      <c r="A17" s="2">
        <f>'Debt Schedule'!A17</f>
        <v>14</v>
      </c>
      <c r="B17" s="3">
        <f>'Debt Schedule'!B17</f>
        <v>47300</v>
      </c>
      <c r="C17" s="12">
        <f>Assumptions!$C$7*(1+Assumptions!$C$8)^(A17/4)</f>
        <v>59.31063190221991</v>
      </c>
      <c r="D17" s="12">
        <f>'Debt Schedule'!Q17</f>
        <v>17.968179040269515</v>
      </c>
      <c r="E17" s="4">
        <f t="shared" si="0"/>
        <v>0.30295038956745618</v>
      </c>
      <c r="F17" s="4">
        <f>IF(A17&lt;=8,Assumptions!$C$29,Assumptions!$C$30)</f>
        <v>6</v>
      </c>
      <c r="G17" s="4">
        <f t="shared" si="1"/>
        <v>5.6970496104325434</v>
      </c>
      <c r="H17" s="12">
        <f>'Debt Schedule'!O17</f>
        <v>0.74634095883981566</v>
      </c>
      <c r="I17" s="12">
        <f t="shared" ca="1" si="2"/>
        <v>4.1942418655592206</v>
      </c>
      <c r="J17" s="4">
        <f t="shared" ca="1" si="3"/>
        <v>14.140966068086298</v>
      </c>
      <c r="K17" s="4">
        <f>Assumptions!$C$31</f>
        <v>2</v>
      </c>
      <c r="L17" s="15" t="str">
        <f t="shared" ca="1" si="4"/>
        <v>Pass</v>
      </c>
    </row>
    <row r="18" spans="1:12" x14ac:dyDescent="0.2">
      <c r="A18" s="2">
        <f>'Debt Schedule'!A18</f>
        <v>15</v>
      </c>
      <c r="B18" s="3">
        <f>'Debt Schedule'!B18</f>
        <v>47392</v>
      </c>
      <c r="C18" s="12">
        <f>Assumptions!$C$7*(1+Assumptions!$C$8)^(A18/4)</f>
        <v>60.038505881058413</v>
      </c>
      <c r="D18" s="12">
        <f>'Debt Schedule'!Q18</f>
        <v>10.485671104646562</v>
      </c>
      <c r="E18" s="4">
        <f t="shared" si="0"/>
        <v>0.17464910145198487</v>
      </c>
      <c r="F18" s="4">
        <f>IF(A18&lt;=8,Assumptions!$C$29,Assumptions!$C$30)</f>
        <v>6</v>
      </c>
      <c r="G18" s="4">
        <f t="shared" si="1"/>
        <v>5.8253508985480149</v>
      </c>
      <c r="H18" s="12">
        <f>'Debt Schedule'!O18</f>
        <v>0.53006128168795064</v>
      </c>
      <c r="I18" s="12">
        <f t="shared" ca="1" si="2"/>
        <v>3.3951888717152836</v>
      </c>
      <c r="J18" s="4">
        <f t="shared" ca="1" si="3"/>
        <v>17.683406770453495</v>
      </c>
      <c r="K18" s="4">
        <f>Assumptions!$C$31</f>
        <v>2</v>
      </c>
      <c r="L18" s="15" t="str">
        <f t="shared" ca="1" si="4"/>
        <v>Pass</v>
      </c>
    </row>
    <row r="19" spans="1:12" x14ac:dyDescent="0.2">
      <c r="A19" s="2">
        <f>'Debt Schedule'!A19</f>
        <v>16</v>
      </c>
      <c r="B19" s="3">
        <f>'Debt Schedule'!B19</f>
        <v>47484</v>
      </c>
      <c r="C19" s="12">
        <f>Assumptions!$C$7*(1+Assumptions!$C$8)^(A19/4)</f>
        <v>60.775312499999998</v>
      </c>
      <c r="D19" s="12">
        <f>'Debt Schedule'!Q19</f>
        <v>2.7399237805458059</v>
      </c>
      <c r="E19" s="4">
        <f t="shared" si="0"/>
        <v>4.5082841499923275E-2</v>
      </c>
      <c r="F19" s="4">
        <f>IF(A19&lt;=8,Assumptions!$C$29,Assumptions!$C$30)</f>
        <v>6</v>
      </c>
      <c r="G19" s="4">
        <f t="shared" si="1"/>
        <v>5.9549171585000771</v>
      </c>
      <c r="H19" s="12">
        <f>'Debt Schedule'!O19</f>
        <v>0.30801658869899273</v>
      </c>
      <c r="I19" s="12">
        <f t="shared" ca="1" si="2"/>
        <v>2.5413394339349757</v>
      </c>
      <c r="J19" s="4">
        <f t="shared" ca="1" si="3"/>
        <v>23.914677310892046</v>
      </c>
      <c r="K19" s="4">
        <f>Assumptions!$C$31</f>
        <v>2</v>
      </c>
      <c r="L19" s="15" t="str">
        <f t="shared" ca="1" si="4"/>
        <v>Pass</v>
      </c>
    </row>
    <row r="20" spans="1:12" x14ac:dyDescent="0.2">
      <c r="A20" s="2">
        <f>'Debt Schedule'!A20</f>
        <v>17</v>
      </c>
      <c r="B20" s="3">
        <f>'Debt Schedule'!B20</f>
        <v>47574</v>
      </c>
      <c r="C20" s="12">
        <f>Assumptions!$C$7*(1+Assumptions!$C$8)^(A20/4)</f>
        <v>61.521161382498136</v>
      </c>
      <c r="D20" s="12">
        <f>'Debt Schedule'!Q20</f>
        <v>0</v>
      </c>
      <c r="E20" s="4">
        <f t="shared" si="0"/>
        <v>0</v>
      </c>
      <c r="F20" s="4">
        <f>IF(A20&lt;=8,Assumptions!$C$29,Assumptions!$C$30)</f>
        <v>6</v>
      </c>
      <c r="G20" s="4">
        <f t="shared" si="1"/>
        <v>6</v>
      </c>
      <c r="H20" s="12">
        <f>'Debt Schedule'!O20</f>
        <v>8.014277058096482E-2</v>
      </c>
      <c r="I20" s="12">
        <f t="shared" ca="1" si="2"/>
        <v>1.6645615998077237</v>
      </c>
      <c r="J20" s="4">
        <f t="shared" ca="1" si="3"/>
        <v>36.959378006560136</v>
      </c>
      <c r="K20" s="4">
        <f>Assumptions!$C$31</f>
        <v>2</v>
      </c>
      <c r="L20" s="15" t="str">
        <f t="shared" ca="1" si="4"/>
        <v>Pass</v>
      </c>
    </row>
    <row r="21" spans="1:12" x14ac:dyDescent="0.2">
      <c r="A21" s="2">
        <f>'Debt Schedule'!A21</f>
        <v>18</v>
      </c>
      <c r="B21" s="3">
        <f>'Debt Schedule'!B21</f>
        <v>47665</v>
      </c>
      <c r="C21" s="12">
        <f>Assumptions!$C$7*(1+Assumptions!$C$8)^(A21/4)</f>
        <v>62.276163497330906</v>
      </c>
      <c r="D21" s="12">
        <f>'Debt Schedule'!Q21</f>
        <v>0</v>
      </c>
      <c r="E21" s="4">
        <f t="shared" si="0"/>
        <v>0</v>
      </c>
      <c r="F21" s="4">
        <f>IF(A21&lt;=8,Assumptions!$C$29,Assumptions!$C$30)</f>
        <v>6</v>
      </c>
      <c r="G21" s="4">
        <f t="shared" si="1"/>
        <v>6</v>
      </c>
      <c r="H21" s="12">
        <f>'Debt Schedule'!O21</f>
        <v>0</v>
      </c>
      <c r="I21" s="12">
        <f t="shared" ca="1" si="2"/>
        <v>0.91822064096790823</v>
      </c>
      <c r="J21" s="4">
        <f t="shared" ca="1" si="3"/>
        <v>67.822656907042301</v>
      </c>
      <c r="K21" s="4">
        <f>Assumptions!$C$31</f>
        <v>2</v>
      </c>
      <c r="L21" s="15" t="str">
        <f t="shared" ca="1" si="4"/>
        <v>Pass</v>
      </c>
    </row>
    <row r="22" spans="1:12" x14ac:dyDescent="0.2">
      <c r="A22" s="2">
        <f>'Debt Schedule'!A22</f>
        <v>19</v>
      </c>
      <c r="B22" s="3">
        <f>'Debt Schedule'!B22</f>
        <v>47757</v>
      </c>
      <c r="C22" s="12">
        <f>Assumptions!$C$7*(1+Assumptions!$C$8)^(A22/4)</f>
        <v>63.040431175111337</v>
      </c>
      <c r="D22" s="12">
        <f>'Debt Schedule'!Q22</f>
        <v>0</v>
      </c>
      <c r="E22" s="4">
        <f t="shared" si="0"/>
        <v>0</v>
      </c>
      <c r="F22" s="4">
        <f>IF(A22&lt;=8,Assumptions!$C$29,Assumptions!$C$30)</f>
        <v>6</v>
      </c>
      <c r="G22" s="4">
        <f t="shared" si="1"/>
        <v>6</v>
      </c>
      <c r="H22" s="12">
        <f>'Debt Schedule'!O22</f>
        <v>0</v>
      </c>
      <c r="I22" s="12">
        <f t="shared" ca="1" si="2"/>
        <v>0.38815935927995754</v>
      </c>
      <c r="J22" s="4">
        <f t="shared" ca="1" si="3"/>
        <v>162.40863363967946</v>
      </c>
      <c r="K22" s="4">
        <f>Assumptions!$C$31</f>
        <v>2</v>
      </c>
      <c r="L22" s="15" t="str">
        <f t="shared" ca="1" si="4"/>
        <v>Pass</v>
      </c>
    </row>
    <row r="23" spans="1:12" x14ac:dyDescent="0.2">
      <c r="A23" s="2">
        <f>'Debt Schedule'!A23</f>
        <v>20</v>
      </c>
      <c r="B23" s="3">
        <f>'Debt Schedule'!B23</f>
        <v>47849</v>
      </c>
      <c r="C23" s="12">
        <f>Assumptions!$C$7*(1+Assumptions!$C$8)^(A23/4)</f>
        <v>63.814078125000009</v>
      </c>
      <c r="D23" s="12">
        <f>'Debt Schedule'!Q23</f>
        <v>0</v>
      </c>
      <c r="E23" s="4">
        <f t="shared" si="0"/>
        <v>0</v>
      </c>
      <c r="F23" s="4">
        <f>IF(A23&lt;=8,Assumptions!$C$29,Assumptions!$C$30)</f>
        <v>6</v>
      </c>
      <c r="G23" s="4">
        <f t="shared" si="1"/>
        <v>6</v>
      </c>
      <c r="H23" s="12">
        <f>'Debt Schedule'!O23</f>
        <v>0</v>
      </c>
      <c r="I23" s="12">
        <f t="shared" ca="1" si="2"/>
        <v>8.014277058096482E-2</v>
      </c>
      <c r="J23" s="4">
        <f t="shared" ca="1" si="3"/>
        <v>796.2549542822627</v>
      </c>
      <c r="K23" s="4">
        <f>Assumptions!$C$31</f>
        <v>2</v>
      </c>
      <c r="L23" s="15" t="str">
        <f t="shared" ca="1" si="4"/>
        <v>Pass</v>
      </c>
    </row>
  </sheetData>
  <mergeCells count="1">
    <mergeCell ref="B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showGridLines="0" zoomScale="142" workbookViewId="0">
      <pane ySplit="3" topLeftCell="A4" activePane="bottomLeft" state="frozen"/>
      <selection pane="bottomLeft" activeCell="B29" sqref="B29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5" width="16" customWidth="1"/>
  </cols>
  <sheetData>
    <row r="1" spans="1:5" ht="19" x14ac:dyDescent="0.2">
      <c r="B1" s="18" t="s">
        <v>78</v>
      </c>
      <c r="C1" s="19"/>
      <c r="D1" s="19"/>
      <c r="E1" s="19"/>
    </row>
    <row r="3" spans="1:5" x14ac:dyDescent="0.2">
      <c r="A3" s="14" t="s">
        <v>43</v>
      </c>
      <c r="B3" s="14" t="s">
        <v>44</v>
      </c>
      <c r="C3" s="14" t="s">
        <v>79</v>
      </c>
      <c r="D3" s="14" t="s">
        <v>80</v>
      </c>
      <c r="E3" s="14" t="s">
        <v>81</v>
      </c>
    </row>
    <row r="4" spans="1:5" x14ac:dyDescent="0.2">
      <c r="A4" s="2">
        <v>0</v>
      </c>
      <c r="B4" s="3" t="str">
        <f>Assumptions!$C$5</f>
        <v>2026-01-01</v>
      </c>
      <c r="C4" s="12">
        <f>-Assumptions!$C$11*Assumptions!$C$14</f>
        <v>-59.4</v>
      </c>
      <c r="D4" s="12">
        <f>-Assumptions!$C$18*Assumptions!$C$21</f>
        <v>-39.200000000000003</v>
      </c>
      <c r="E4" s="12">
        <f t="shared" ref="E4:E24" si="0">C4+D4</f>
        <v>-98.6</v>
      </c>
    </row>
    <row r="5" spans="1:5" x14ac:dyDescent="0.2">
      <c r="A5" s="2">
        <v>1</v>
      </c>
      <c r="B5" s="3">
        <f>'Debt Schedule'!B4</f>
        <v>46113</v>
      </c>
      <c r="C5" s="12">
        <f>IF(A5&lt;Assumptions!$C$35,'Debt Schedule'!F4+'Debt Schedule'!G4+'Debt Schedule'!T4,IF(A5=Assumptions!$C$35,'Debt Schedule'!F4+'Debt Schedule'!G4+'Debt Schedule'!T4+'Debt Schedule'!H4*Assumptions!$C$45,0))</f>
        <v>6.1180365384405704</v>
      </c>
      <c r="D5" s="12">
        <f>IF(A5&lt;Assumptions!$C$35,'Debt Schedule'!K4+'Debt Schedule'!L4+'Debt Schedule'!U4,IF(A5=Assumptions!$C$35,'Debt Schedule'!K4+'Debt Schedule'!L4+'Debt Schedule'!U4+'Debt Schedule'!M4*Assumptions!$C$45,0))</f>
        <v>1.25</v>
      </c>
      <c r="E5" s="12">
        <f t="shared" si="0"/>
        <v>7.3680365384405704</v>
      </c>
    </row>
    <row r="6" spans="1:5" x14ac:dyDescent="0.2">
      <c r="A6" s="2">
        <v>2</v>
      </c>
      <c r="B6" s="3">
        <f>'Debt Schedule'!B5</f>
        <v>46204</v>
      </c>
      <c r="C6" s="12">
        <f>IF(A6&lt;Assumptions!$C$35,'Debt Schedule'!F5+'Debt Schedule'!G5+'Debt Schedule'!T5,IF(A6=Assumptions!$C$35,'Debt Schedule'!F5+'Debt Schedule'!G5+'Debt Schedule'!T5+'Debt Schedule'!H5*Assumptions!$C$45,0))</f>
        <v>6.1727180254375584</v>
      </c>
      <c r="D6" s="12">
        <f>IF(A6&lt;Assumptions!$C$35,'Debt Schedule'!K5+'Debt Schedule'!L5+'Debt Schedule'!U5,IF(A6=Assumptions!$C$35,'Debt Schedule'!K5+'Debt Schedule'!L5+'Debt Schedule'!U5+'Debt Schedule'!M5*Assumptions!$C$45,0))</f>
        <v>1.2450000000000001</v>
      </c>
      <c r="E6" s="12">
        <f t="shared" si="0"/>
        <v>7.4177180254375585</v>
      </c>
    </row>
    <row r="7" spans="1:5" x14ac:dyDescent="0.2">
      <c r="A7" s="2">
        <v>3</v>
      </c>
      <c r="B7" s="3">
        <f>'Debt Schedule'!B6</f>
        <v>46296</v>
      </c>
      <c r="C7" s="12">
        <f>IF(A7&lt;Assumptions!$C$35,'Debt Schedule'!F6+'Debt Schedule'!G6+'Debt Schedule'!T6,IF(A7=Assumptions!$C$35,'Debt Schedule'!F6+'Debt Schedule'!G6+'Debt Schedule'!T6+'Debt Schedule'!H6*Assumptions!$C$45,0))</f>
        <v>6.2275931037087178</v>
      </c>
      <c r="D7" s="12">
        <f>IF(A7&lt;Assumptions!$C$35,'Debt Schedule'!K6+'Debt Schedule'!L6+'Debt Schedule'!U6,IF(A7=Assumptions!$C$35,'Debt Schedule'!K6+'Debt Schedule'!L6+'Debt Schedule'!U6+'Debt Schedule'!M6*Assumptions!$C$45,0))</f>
        <v>1.24</v>
      </c>
      <c r="E7" s="12">
        <f t="shared" si="0"/>
        <v>7.467593103708718</v>
      </c>
    </row>
    <row r="8" spans="1:5" x14ac:dyDescent="0.2">
      <c r="A8" s="2">
        <v>4</v>
      </c>
      <c r="B8" s="3">
        <f>'Debt Schedule'!B7</f>
        <v>46388</v>
      </c>
      <c r="C8" s="12">
        <f>IF(A8&lt;Assumptions!$C$35,'Debt Schedule'!F7+'Debt Schedule'!G7+'Debt Schedule'!T7,IF(A8=Assumptions!$C$35,'Debt Schedule'!F7+'Debt Schedule'!G7+'Debt Schedule'!T7+'Debt Schedule'!H7*Assumptions!$C$45,0))</f>
        <v>6.2826695887109736</v>
      </c>
      <c r="D8" s="12">
        <f>IF(A8&lt;Assumptions!$C$35,'Debt Schedule'!K7+'Debt Schedule'!L7+'Debt Schedule'!U7,IF(A8=Assumptions!$C$35,'Debt Schedule'!K7+'Debt Schedule'!L7+'Debt Schedule'!U7+'Debt Schedule'!M7*Assumptions!$C$45,0))</f>
        <v>1.2349999999999999</v>
      </c>
      <c r="E8" s="12">
        <f t="shared" si="0"/>
        <v>7.517669588710973</v>
      </c>
    </row>
    <row r="9" spans="1:5" x14ac:dyDescent="0.2">
      <c r="A9" s="2">
        <v>5</v>
      </c>
      <c r="B9" s="3">
        <f>'Debt Schedule'!B8</f>
        <v>46478</v>
      </c>
      <c r="C9" s="12">
        <f>IF(A9&lt;Assumptions!$C$35,'Debt Schedule'!F8+'Debt Schedule'!G8+'Debt Schedule'!T8,IF(A9=Assumptions!$C$35,'Debt Schedule'!F8+'Debt Schedule'!G8+'Debt Schedule'!T8+'Debt Schedule'!H8*Assumptions!$C$45,0))</f>
        <v>6.3379557170239487</v>
      </c>
      <c r="D9" s="12">
        <f>IF(A9&lt;Assumptions!$C$35,'Debt Schedule'!K8+'Debt Schedule'!L8+'Debt Schedule'!U8,IF(A9=Assumptions!$C$35,'Debt Schedule'!K8+'Debt Schedule'!L8+'Debt Schedule'!U8+'Debt Schedule'!M8*Assumptions!$C$45,0))</f>
        <v>1.23</v>
      </c>
      <c r="E9" s="12">
        <f t="shared" si="0"/>
        <v>7.5679557170239491</v>
      </c>
    </row>
    <row r="10" spans="1:5" x14ac:dyDescent="0.2">
      <c r="A10" s="2">
        <v>6</v>
      </c>
      <c r="B10" s="3">
        <f>'Debt Schedule'!B9</f>
        <v>46569</v>
      </c>
      <c r="C10" s="12">
        <f>IF(A10&lt;Assumptions!$C$35,'Debt Schedule'!F9+'Debt Schedule'!G9+'Debt Schedule'!T9,IF(A10=Assumptions!$C$35,'Debt Schedule'!F9+'Debt Schedule'!G9+'Debt Schedule'!T9+'Debt Schedule'!H9*Assumptions!$C$45,0))</f>
        <v>6.3934601562353865</v>
      </c>
      <c r="D10" s="12">
        <f>IF(A10&lt;Assumptions!$C$35,'Debt Schedule'!K9+'Debt Schedule'!L9+'Debt Schedule'!U9,IF(A10=Assumptions!$C$35,'Debt Schedule'!K9+'Debt Schedule'!L9+'Debt Schedule'!U9+'Debt Schedule'!M9*Assumptions!$C$45,0))</f>
        <v>1.2250000000000001</v>
      </c>
      <c r="E10" s="12">
        <f t="shared" si="0"/>
        <v>7.6184601562353862</v>
      </c>
    </row>
    <row r="11" spans="1:5" x14ac:dyDescent="0.2">
      <c r="A11" s="2">
        <v>7</v>
      </c>
      <c r="B11" s="3">
        <f>'Debt Schedule'!B10</f>
        <v>46661</v>
      </c>
      <c r="C11" s="12">
        <f>IF(A11&lt;Assumptions!$C$35,'Debt Schedule'!F10+'Debt Schedule'!G10+'Debt Schedule'!T10,IF(A11=Assumptions!$C$35,'Debt Schedule'!F10+'Debt Schedule'!G10+'Debt Schedule'!T10+'Debt Schedule'!H10*Assumptions!$C$45,0))</f>
        <v>6.4491920148603281</v>
      </c>
      <c r="D11" s="12">
        <f>IF(A11&lt;Assumptions!$C$35,'Debt Schedule'!K10+'Debt Schedule'!L10+'Debt Schedule'!U10,IF(A11=Assumptions!$C$35,'Debt Schedule'!K10+'Debt Schedule'!L10+'Debt Schedule'!U10+'Debt Schedule'!M10*Assumptions!$C$45,0))</f>
        <v>1.22</v>
      </c>
      <c r="E11" s="12">
        <f t="shared" si="0"/>
        <v>7.6691920148603279</v>
      </c>
    </row>
    <row r="12" spans="1:5" x14ac:dyDescent="0.2">
      <c r="A12" s="2">
        <v>8</v>
      </c>
      <c r="B12" s="3">
        <f>'Debt Schedule'!B11</f>
        <v>46753</v>
      </c>
      <c r="C12" s="12">
        <f>IF(A12&lt;Assumptions!$C$35,'Debt Schedule'!F11+'Debt Schedule'!G11+'Debt Schedule'!T11,IF(A12=Assumptions!$C$35,'Debt Schedule'!F11+'Debt Schedule'!G11+'Debt Schedule'!T11+'Debt Schedule'!H11*Assumptions!$C$45,0))</f>
        <v>6.5051608522895412</v>
      </c>
      <c r="D12" s="12">
        <f>IF(A12&lt;Assumptions!$C$35,'Debt Schedule'!K11+'Debt Schedule'!L11+'Debt Schedule'!U11,IF(A12=Assumptions!$C$35,'Debt Schedule'!K11+'Debt Schedule'!L11+'Debt Schedule'!U11+'Debt Schedule'!M11*Assumptions!$C$45,0))</f>
        <v>1.2149999999999999</v>
      </c>
      <c r="E12" s="12">
        <f t="shared" si="0"/>
        <v>7.7201608522895411</v>
      </c>
    </row>
    <row r="13" spans="1:5" x14ac:dyDescent="0.2">
      <c r="A13" s="2">
        <v>9</v>
      </c>
      <c r="B13" s="3">
        <f>'Debt Schedule'!B12</f>
        <v>46844</v>
      </c>
      <c r="C13" s="12">
        <f>IF(A13&lt;Assumptions!$C$35,'Debt Schedule'!F12+'Debt Schedule'!G12+'Debt Schedule'!T12,IF(A13=Assumptions!$C$35,'Debt Schedule'!F12+'Debt Schedule'!G12+'Debt Schedule'!T12+'Debt Schedule'!H12*Assumptions!$C$45,0))</f>
        <v>6.5613766887625733</v>
      </c>
      <c r="D13" s="12">
        <f>IF(A13&lt;Assumptions!$C$35,'Debt Schedule'!K12+'Debt Schedule'!L12+'Debt Schedule'!U12,IF(A13=Assumptions!$C$35,'Debt Schedule'!K12+'Debt Schedule'!L12+'Debt Schedule'!U12+'Debt Schedule'!M12*Assumptions!$C$45,0))</f>
        <v>1.21</v>
      </c>
      <c r="E13" s="12">
        <f t="shared" si="0"/>
        <v>7.7713766887625733</v>
      </c>
    </row>
    <row r="14" spans="1:5" x14ac:dyDescent="0.2">
      <c r="A14" s="2">
        <v>10</v>
      </c>
      <c r="B14" s="3">
        <f>'Debt Schedule'!B13</f>
        <v>46935</v>
      </c>
      <c r="C14" s="12">
        <f>IF(A14&lt;Assumptions!$C$35,'Debt Schedule'!F13+'Debt Schedule'!G13+'Debt Schedule'!T13,IF(A14=Assumptions!$C$35,'Debt Schedule'!F13+'Debt Schedule'!G13+'Debt Schedule'!T13+'Debt Schedule'!H13*Assumptions!$C$45,0))</f>
        <v>6.61785001536074</v>
      </c>
      <c r="D14" s="12">
        <f>IF(A14&lt;Assumptions!$C$35,'Debt Schedule'!K13+'Debt Schedule'!L13+'Debt Schedule'!U13,IF(A14=Assumptions!$C$35,'Debt Schedule'!K13+'Debt Schedule'!L13+'Debt Schedule'!U13+'Debt Schedule'!M13*Assumptions!$C$45,0))</f>
        <v>1.2050000000000001</v>
      </c>
      <c r="E14" s="12">
        <f t="shared" si="0"/>
        <v>7.8228500153607401</v>
      </c>
    </row>
    <row r="15" spans="1:5" x14ac:dyDescent="0.2">
      <c r="A15" s="2">
        <v>11</v>
      </c>
      <c r="B15" s="3">
        <f>'Debt Schedule'!B14</f>
        <v>47027</v>
      </c>
      <c r="C15" s="12">
        <f>IF(A15&lt;Assumptions!$C$35,'Debt Schedule'!F14+'Debt Schedule'!G14+'Debt Schedule'!T14,IF(A15=Assumptions!$C$35,'Debt Schedule'!F14+'Debt Schedule'!G14+'Debt Schedule'!T14+'Debt Schedule'!H14*Assumptions!$C$45,0))</f>
        <v>5.5655048242429164</v>
      </c>
      <c r="D15" s="12">
        <f>IF(A15&lt;Assumptions!$C$35,'Debt Schedule'!K14+'Debt Schedule'!L14+'Debt Schedule'!U14,IF(A15=Assumptions!$C$35,'Debt Schedule'!K14+'Debt Schedule'!L14+'Debt Schedule'!U14+'Debt Schedule'!M14*Assumptions!$C$45,0))</f>
        <v>2.3090869797723554</v>
      </c>
      <c r="E15" s="12">
        <f t="shared" si="0"/>
        <v>7.8745918040152718</v>
      </c>
    </row>
    <row r="16" spans="1:5" x14ac:dyDescent="0.2">
      <c r="A16" s="2">
        <v>12</v>
      </c>
      <c r="B16" s="3">
        <f>'Debt Schedule'!B15</f>
        <v>47119</v>
      </c>
      <c r="C16" s="12">
        <f>IF(A16&lt;Assumptions!$C$35,'Debt Schedule'!F15+'Debt Schedule'!G15+'Debt Schedule'!T15,IF(A16=Assumptions!$C$35,'Debt Schedule'!F15+'Debt Schedule'!G15+'Debt Schedule'!T15+'Debt Schedule'!H15*Assumptions!$C$45,0))</f>
        <v>0</v>
      </c>
      <c r="D16" s="12">
        <f>IF(A16&lt;Assumptions!$C$35,'Debt Schedule'!K15+'Debt Schedule'!L15+'Debt Schedule'!U15,IF(A16=Assumptions!$C$35,'Debt Schedule'!K15+'Debt Schedule'!L15+'Debt Schedule'!U15+'Debt Schedule'!M15*Assumptions!$C$45,0))</f>
        <v>40.052779046706945</v>
      </c>
      <c r="E16" s="12">
        <f t="shared" si="0"/>
        <v>40.052779046706945</v>
      </c>
    </row>
    <row r="17" spans="1:5" x14ac:dyDescent="0.2">
      <c r="A17" s="2">
        <v>13</v>
      </c>
      <c r="B17" s="3">
        <f>'Debt Schedule'!B16</f>
        <v>47209</v>
      </c>
      <c r="C17" s="12">
        <f>IF(A17&lt;Assumptions!$C$35,'Debt Schedule'!F16+'Debt Schedule'!G16+'Debt Schedule'!T16,IF(A17=Assumptions!$C$35,'Debt Schedule'!F16+'Debt Schedule'!G16+'Debt Schedule'!T16+'Debt Schedule'!H16*Assumptions!$C$45,0))</f>
        <v>0</v>
      </c>
      <c r="D17" s="12">
        <f>IF(A17&lt;Assumptions!$C$35,'Debt Schedule'!K16+'Debt Schedule'!L16+'Debt Schedule'!U16,IF(A17=Assumptions!$C$35,'Debt Schedule'!K16+'Debt Schedule'!L16+'Debt Schedule'!U16+'Debt Schedule'!M16*Assumptions!$C$45,0))</f>
        <v>0</v>
      </c>
      <c r="E17" s="12">
        <f t="shared" si="0"/>
        <v>0</v>
      </c>
    </row>
    <row r="18" spans="1:5" x14ac:dyDescent="0.2">
      <c r="A18" s="2">
        <v>14</v>
      </c>
      <c r="B18" s="3">
        <f>'Debt Schedule'!B17</f>
        <v>47300</v>
      </c>
      <c r="C18" s="12">
        <f>IF(A18&lt;Assumptions!$C$35,'Debt Schedule'!F17+'Debt Schedule'!G17+'Debt Schedule'!T17,IF(A18=Assumptions!$C$35,'Debt Schedule'!F17+'Debt Schedule'!G17+'Debt Schedule'!T17+'Debt Schedule'!H17*Assumptions!$C$45,0))</f>
        <v>0</v>
      </c>
      <c r="D18" s="12">
        <f>IF(A18&lt;Assumptions!$C$35,'Debt Schedule'!K17+'Debt Schedule'!L17+'Debt Schedule'!U17,IF(A18=Assumptions!$C$35,'Debt Schedule'!K17+'Debt Schedule'!L17+'Debt Schedule'!U17+'Debt Schedule'!M17*Assumptions!$C$45,0))</f>
        <v>0</v>
      </c>
      <c r="E18" s="12">
        <f t="shared" si="0"/>
        <v>0</v>
      </c>
    </row>
    <row r="19" spans="1:5" x14ac:dyDescent="0.2">
      <c r="A19" s="2">
        <v>15</v>
      </c>
      <c r="B19" s="3">
        <f>'Debt Schedule'!B18</f>
        <v>47392</v>
      </c>
      <c r="C19" s="12">
        <f>IF(A19&lt;Assumptions!$C$35,'Debt Schedule'!F18+'Debt Schedule'!G18+'Debt Schedule'!T18,IF(A19=Assumptions!$C$35,'Debt Schedule'!F18+'Debt Schedule'!G18+'Debt Schedule'!T18+'Debt Schedule'!H18*Assumptions!$C$45,0))</f>
        <v>0</v>
      </c>
      <c r="D19" s="12">
        <f>IF(A19&lt;Assumptions!$C$35,'Debt Schedule'!K18+'Debt Schedule'!L18+'Debt Schedule'!U18,IF(A19=Assumptions!$C$35,'Debt Schedule'!K18+'Debt Schedule'!L18+'Debt Schedule'!U18+'Debt Schedule'!M18*Assumptions!$C$45,0))</f>
        <v>0</v>
      </c>
      <c r="E19" s="12">
        <f t="shared" si="0"/>
        <v>0</v>
      </c>
    </row>
    <row r="20" spans="1:5" x14ac:dyDescent="0.2">
      <c r="A20" s="2">
        <v>16</v>
      </c>
      <c r="B20" s="3">
        <f>'Debt Schedule'!B19</f>
        <v>47484</v>
      </c>
      <c r="C20" s="12">
        <f>IF(A20&lt;Assumptions!$C$35,'Debt Schedule'!F19+'Debt Schedule'!G19+'Debt Schedule'!T19,IF(A20=Assumptions!$C$35,'Debt Schedule'!F19+'Debt Schedule'!G19+'Debt Schedule'!T19+'Debt Schedule'!H19*Assumptions!$C$45,0))</f>
        <v>0</v>
      </c>
      <c r="D20" s="12">
        <f>IF(A20&lt;Assumptions!$C$35,'Debt Schedule'!K19+'Debt Schedule'!L19+'Debt Schedule'!U19,IF(A20=Assumptions!$C$35,'Debt Schedule'!K19+'Debt Schedule'!L19+'Debt Schedule'!U19+'Debt Schedule'!M19*Assumptions!$C$45,0))</f>
        <v>0</v>
      </c>
      <c r="E20" s="12">
        <f t="shared" si="0"/>
        <v>0</v>
      </c>
    </row>
    <row r="21" spans="1:5" x14ac:dyDescent="0.2">
      <c r="A21" s="2">
        <v>17</v>
      </c>
      <c r="B21" s="3">
        <f>'Debt Schedule'!B20</f>
        <v>47574</v>
      </c>
      <c r="C21" s="12">
        <f>IF(A21&lt;Assumptions!$C$35,'Debt Schedule'!F20+'Debt Schedule'!G20+'Debt Schedule'!T20,IF(A21=Assumptions!$C$35,'Debt Schedule'!F20+'Debt Schedule'!G20+'Debt Schedule'!T20+'Debt Schedule'!H20*Assumptions!$C$45,0))</f>
        <v>0</v>
      </c>
      <c r="D21" s="12">
        <f>IF(A21&lt;Assumptions!$C$35,'Debt Schedule'!K20+'Debt Schedule'!L20+'Debt Schedule'!U20,IF(A21=Assumptions!$C$35,'Debt Schedule'!K20+'Debt Schedule'!L20+'Debt Schedule'!U20+'Debt Schedule'!M20*Assumptions!$C$45,0))</f>
        <v>0</v>
      </c>
      <c r="E21" s="12">
        <f t="shared" si="0"/>
        <v>0</v>
      </c>
    </row>
    <row r="22" spans="1:5" x14ac:dyDescent="0.2">
      <c r="A22" s="2">
        <v>18</v>
      </c>
      <c r="B22" s="3">
        <f>'Debt Schedule'!B21</f>
        <v>47665</v>
      </c>
      <c r="C22" s="12">
        <f>IF(A22&lt;Assumptions!$C$35,'Debt Schedule'!F21+'Debt Schedule'!G21+'Debt Schedule'!T21,IF(A22=Assumptions!$C$35,'Debt Schedule'!F21+'Debt Schedule'!G21+'Debt Schedule'!T21+'Debt Schedule'!H21*Assumptions!$C$45,0))</f>
        <v>0</v>
      </c>
      <c r="D22" s="12">
        <f>IF(A22&lt;Assumptions!$C$35,'Debt Schedule'!K21+'Debt Schedule'!L21+'Debt Schedule'!U21,IF(A22=Assumptions!$C$35,'Debt Schedule'!K21+'Debt Schedule'!L21+'Debt Schedule'!U21+'Debt Schedule'!M21*Assumptions!$C$45,0))</f>
        <v>0</v>
      </c>
      <c r="E22" s="12">
        <f t="shared" si="0"/>
        <v>0</v>
      </c>
    </row>
    <row r="23" spans="1:5" x14ac:dyDescent="0.2">
      <c r="A23" s="2">
        <v>19</v>
      </c>
      <c r="B23" s="3">
        <f>'Debt Schedule'!B22</f>
        <v>47757</v>
      </c>
      <c r="C23" s="12">
        <f>IF(A23&lt;Assumptions!$C$35,'Debt Schedule'!F22+'Debt Schedule'!G22+'Debt Schedule'!T22,IF(A23=Assumptions!$C$35,'Debt Schedule'!F22+'Debt Schedule'!G22+'Debt Schedule'!T22+'Debt Schedule'!H22*Assumptions!$C$45,0))</f>
        <v>0</v>
      </c>
      <c r="D23" s="12">
        <f>IF(A23&lt;Assumptions!$C$35,'Debt Schedule'!K22+'Debt Schedule'!L22+'Debt Schedule'!U22,IF(A23=Assumptions!$C$35,'Debt Schedule'!K22+'Debt Schedule'!L22+'Debt Schedule'!U22+'Debt Schedule'!M22*Assumptions!$C$45,0))</f>
        <v>0</v>
      </c>
      <c r="E23" s="12">
        <f t="shared" si="0"/>
        <v>0</v>
      </c>
    </row>
    <row r="24" spans="1:5" x14ac:dyDescent="0.2">
      <c r="A24" s="2">
        <v>20</v>
      </c>
      <c r="B24" s="3">
        <f>'Debt Schedule'!B23</f>
        <v>47849</v>
      </c>
      <c r="C24" s="12">
        <f>IF(A24&lt;Assumptions!$C$35,'Debt Schedule'!F23+'Debt Schedule'!G23+'Debt Schedule'!T23,IF(A24=Assumptions!$C$35,'Debt Schedule'!F23+'Debt Schedule'!G23+'Debt Schedule'!T23+'Debt Schedule'!H23*Assumptions!$C$45,0))</f>
        <v>0</v>
      </c>
      <c r="D24" s="12">
        <f>IF(A24&lt;Assumptions!$C$35,'Debt Schedule'!K23+'Debt Schedule'!L23+'Debt Schedule'!U23,IF(A24=Assumptions!$C$35,'Debt Schedule'!K23+'Debt Schedule'!L23+'Debt Schedule'!U23+'Debt Schedule'!M23*Assumptions!$C$45,0))</f>
        <v>0</v>
      </c>
      <c r="E24" s="12">
        <f t="shared" si="0"/>
        <v>0</v>
      </c>
    </row>
    <row r="26" spans="1:5" x14ac:dyDescent="0.2">
      <c r="B26" s="20" t="s">
        <v>82</v>
      </c>
      <c r="C26" s="20"/>
      <c r="D26" s="20"/>
      <c r="E26" s="20"/>
    </row>
    <row r="27" spans="1:5" x14ac:dyDescent="0.2">
      <c r="A27" s="1" t="s">
        <v>83</v>
      </c>
      <c r="B27" s="16">
        <f>XIRR(C4:C24,B4:B24)</f>
        <v>0.10994732975959778</v>
      </c>
    </row>
    <row r="28" spans="1:5" x14ac:dyDescent="0.2">
      <c r="A28" s="1" t="s">
        <v>84</v>
      </c>
      <c r="B28" s="16">
        <f>XIRR(D4:D24,B4:B24)</f>
        <v>0.13708904385566711</v>
      </c>
    </row>
    <row r="29" spans="1:5" x14ac:dyDescent="0.2">
      <c r="A29" s="1" t="s">
        <v>85</v>
      </c>
      <c r="B29" s="16">
        <f>XIRR(E4:E24,B4:B24)</f>
        <v>0.1246757686138153</v>
      </c>
    </row>
    <row r="30" spans="1:5" x14ac:dyDescent="0.2">
      <c r="A30" s="1" t="s">
        <v>9</v>
      </c>
      <c r="B30" s="17">
        <f>SUMIF(C5:C24,"&gt;0")/ABS(C4)</f>
        <v>1.1655137630483714</v>
      </c>
    </row>
    <row r="31" spans="1:5" x14ac:dyDescent="0.2">
      <c r="A31" s="1" t="s">
        <v>11</v>
      </c>
      <c r="B31" s="17">
        <f>SUMIF(D5:D24,"&gt;0")/ABS(D4)</f>
        <v>1.3937976027163086</v>
      </c>
    </row>
    <row r="32" spans="1:5" x14ac:dyDescent="0.2">
      <c r="A32" s="1" t="s">
        <v>13</v>
      </c>
      <c r="B32" s="17">
        <f>SUMIF(E5:E24,"&gt;0")/ABS(E4)</f>
        <v>1.2562716384538799</v>
      </c>
    </row>
  </sheetData>
  <mergeCells count="2">
    <mergeCell ref="B26:E26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Assumptions</vt:lpstr>
      <vt:lpstr>SOFR Curve</vt:lpstr>
      <vt:lpstr>Debt Schedule</vt:lpstr>
      <vt:lpstr>Covenants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Daniel Ding-Yu</cp:lastModifiedBy>
  <dcterms:created xsi:type="dcterms:W3CDTF">2026-07-10T22:54:32Z</dcterms:created>
  <dcterms:modified xsi:type="dcterms:W3CDTF">2026-07-10T23:00:36Z</dcterms:modified>
</cp:coreProperties>
</file>