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IS" sheetId="2" state="visible" r:id="rId2"/>
    <sheet name="BS" sheetId="3" state="visible" r:id="rId3"/>
    <sheet name="CFS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"/>
    <numFmt numFmtId="166" formatCode="0.0000"/>
    <numFmt numFmtId="167" formatCode="#,##0.00;(#,##0.00)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0000FF"/>
    </font>
    <font>
      <b val="1"/>
      <color rgb="00FFFFFF"/>
    </font>
    <font>
      <i val="1"/>
      <color rgb="00808080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bottom style="double"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0" borderId="0" pivotButton="0" quotePrefix="0" xfId="0"/>
    <xf numFmtId="1" fontId="3" fillId="0" borderId="0" pivotButton="0" quotePrefix="0" xfId="0"/>
    <xf numFmtId="165" fontId="3" fillId="0" borderId="0" pivotButton="0" quotePrefix="0" xfId="0"/>
    <xf numFmtId="0" fontId="4" fillId="3" borderId="1" applyAlignment="1" pivotButton="0" quotePrefix="0" xfId="0">
      <alignment horizontal="center"/>
    </xf>
    <xf numFmtId="165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6" fillId="0" borderId="2" pivotButton="0" quotePrefix="0" xfId="0"/>
    <xf numFmtId="165" fontId="6" fillId="0" borderId="3" pivotButton="0" quotePrefix="0" xfId="0"/>
    <xf numFmtId="165" fontId="5" fillId="0" borderId="0" pivotButton="0" quotePrefix="0" xfId="0"/>
    <xf numFmtId="166" fontId="0" fillId="0" borderId="0" pivotButton="0" quotePrefix="0" xfId="0"/>
    <xf numFmtId="165" fontId="6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1:H1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Assumptions</t>
        </is>
      </c>
    </row>
    <row r="3">
      <c r="B3" s="2" t="inlineStr">
        <is>
          <t>Global Assumptions</t>
        </is>
      </c>
    </row>
    <row r="4">
      <c r="B4" t="inlineStr">
        <is>
          <t>Tax rate</t>
        </is>
      </c>
      <c r="C4" s="3" t="n">
        <v>0.25</v>
      </c>
    </row>
    <row r="5">
      <c r="B5" t="inlineStr">
        <is>
          <t>Interest rate on debt</t>
        </is>
      </c>
      <c r="C5" s="3" t="n">
        <v>0.05</v>
      </c>
    </row>
    <row r="6">
      <c r="B6" t="inlineStr">
        <is>
          <t>WACC / Discount rate</t>
        </is>
      </c>
      <c r="C6" s="3" t="n">
        <v>0.1</v>
      </c>
    </row>
    <row r="7">
      <c r="B7" t="inlineStr">
        <is>
          <t>Terminal growth rate</t>
        </is>
      </c>
      <c r="C7" s="3" t="n">
        <v>0.025</v>
      </c>
    </row>
    <row r="8">
      <c r="B8" t="inlineStr">
        <is>
          <t>Accounts receivable days (DSO)</t>
        </is>
      </c>
      <c r="C8" s="4" t="n">
        <v>45</v>
      </c>
    </row>
    <row r="9">
      <c r="B9" t="inlineStr">
        <is>
          <t>Inventory days</t>
        </is>
      </c>
      <c r="C9" s="4" t="n">
        <v>30</v>
      </c>
    </row>
    <row r="10">
      <c r="B10" t="inlineStr">
        <is>
          <t>Accounts payable days (DPO)</t>
        </is>
      </c>
      <c r="C10" s="4" t="n">
        <v>40</v>
      </c>
    </row>
    <row r="11">
      <c r="B11" t="inlineStr">
        <is>
          <t>Shares outstanding</t>
        </is>
      </c>
      <c r="C11" s="5" t="n">
        <v>40000000</v>
      </c>
    </row>
    <row r="13">
      <c r="B13" s="2" t="inlineStr">
        <is>
          <t>Operating Assumptions</t>
        </is>
      </c>
    </row>
    <row r="14">
      <c r="C14" s="6" t="inlineStr">
        <is>
          <t>2025A</t>
        </is>
      </c>
      <c r="D14" s="6" t="inlineStr">
        <is>
          <t>2026E</t>
        </is>
      </c>
      <c r="E14" s="6" t="inlineStr">
        <is>
          <t>2027E</t>
        </is>
      </c>
      <c r="F14" s="6" t="inlineStr">
        <is>
          <t>2028E</t>
        </is>
      </c>
      <c r="G14" s="6" t="inlineStr">
        <is>
          <t>2029E</t>
        </is>
      </c>
      <c r="H14" s="6" t="inlineStr">
        <is>
          <t>2030E</t>
        </is>
      </c>
    </row>
    <row r="15">
      <c r="B15" t="inlineStr">
        <is>
          <t>Revenue growth %</t>
        </is>
      </c>
      <c r="D15" s="3" t="n">
        <v>0.1</v>
      </c>
      <c r="E15" s="3" t="n">
        <v>0.09</v>
      </c>
      <c r="F15" s="3" t="n">
        <v>0.08</v>
      </c>
      <c r="G15" s="3" t="n">
        <v>0.07000000000000001</v>
      </c>
      <c r="H15" s="3" t="n">
        <v>0.06</v>
      </c>
    </row>
    <row r="16">
      <c r="B16" t="inlineStr">
        <is>
          <t>COGS % of revenue</t>
        </is>
      </c>
      <c r="C16" s="3" t="n">
        <v>0.6</v>
      </c>
      <c r="D16" s="3" t="n">
        <v>0.6</v>
      </c>
      <c r="E16" s="3" t="n">
        <v>0.6</v>
      </c>
      <c r="F16" s="3" t="n">
        <v>0.6</v>
      </c>
      <c r="G16" s="3" t="n">
        <v>0.6</v>
      </c>
      <c r="H16" s="3" t="n">
        <v>0.6</v>
      </c>
    </row>
    <row r="17">
      <c r="B17" t="inlineStr">
        <is>
          <t>SG&amp;A % of revenue</t>
        </is>
      </c>
      <c r="C17" s="3" t="n">
        <v>0.15</v>
      </c>
      <c r="D17" s="3" t="n">
        <v>0.15</v>
      </c>
      <c r="E17" s="3" t="n">
        <v>0.15</v>
      </c>
      <c r="F17" s="3" t="n">
        <v>0.15</v>
      </c>
      <c r="G17" s="3" t="n">
        <v>0.15</v>
      </c>
      <c r="H17" s="3" t="n">
        <v>0.15</v>
      </c>
    </row>
    <row r="18">
      <c r="B18" t="inlineStr">
        <is>
          <t>D&amp;A % of revenue</t>
        </is>
      </c>
      <c r="C18" s="3" t="n">
        <v>0.03</v>
      </c>
      <c r="D18" s="3" t="n">
        <v>0.03</v>
      </c>
      <c r="E18" s="3" t="n">
        <v>0.03</v>
      </c>
      <c r="F18" s="3" t="n">
        <v>0.03</v>
      </c>
      <c r="G18" s="3" t="n">
        <v>0.03</v>
      </c>
      <c r="H18" s="3" t="n">
        <v>0.03</v>
      </c>
    </row>
    <row r="19">
      <c r="B19" t="inlineStr">
        <is>
          <t>CapEx % of revenue</t>
        </is>
      </c>
      <c r="C19" s="3" t="n">
        <v>0.04</v>
      </c>
      <c r="D19" s="3" t="n">
        <v>0.04</v>
      </c>
      <c r="E19" s="3" t="n">
        <v>0.04</v>
      </c>
      <c r="F19" s="3" t="n">
        <v>0.04</v>
      </c>
      <c r="G19" s="3" t="n">
        <v>0.04</v>
      </c>
      <c r="H19" s="3" t="n">
        <v>0.04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B1:H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Income Statement</t>
        </is>
      </c>
    </row>
    <row r="2">
      <c r="C2" s="6" t="inlineStr">
        <is>
          <t>2025A</t>
        </is>
      </c>
      <c r="D2" s="6" t="inlineStr">
        <is>
          <t>2026E</t>
        </is>
      </c>
      <c r="E2" s="6" t="inlineStr">
        <is>
          <t>2027E</t>
        </is>
      </c>
      <c r="F2" s="6" t="inlineStr">
        <is>
          <t>2028E</t>
        </is>
      </c>
      <c r="G2" s="6" t="inlineStr">
        <is>
          <t>2029E</t>
        </is>
      </c>
      <c r="H2" s="6" t="inlineStr">
        <is>
          <t>2030E</t>
        </is>
      </c>
    </row>
    <row r="4">
      <c r="B4" t="inlineStr">
        <is>
          <t>Revenue</t>
        </is>
      </c>
      <c r="C4" s="5" t="n">
        <v>500000000</v>
      </c>
      <c r="D4" s="7">
        <f>C4*(1+Assumptions!D15)</f>
        <v/>
      </c>
      <c r="E4" s="7">
        <f>D4*(1+Assumptions!E15)</f>
        <v/>
      </c>
      <c r="F4" s="7">
        <f>E4*(1+Assumptions!F15)</f>
        <v/>
      </c>
      <c r="G4" s="7">
        <f>F4*(1+Assumptions!G15)</f>
        <v/>
      </c>
      <c r="H4" s="7">
        <f>G4*(1+Assumptions!H15)</f>
        <v/>
      </c>
    </row>
    <row r="5">
      <c r="B5" s="8" t="inlineStr">
        <is>
          <t xml:space="preserve">  Revenue growth %</t>
        </is>
      </c>
      <c r="D5" s="9">
        <f>D4/C4-1</f>
        <v/>
      </c>
      <c r="E5" s="9">
        <f>E4/D4-1</f>
        <v/>
      </c>
      <c r="F5" s="9">
        <f>F4/E4-1</f>
        <v/>
      </c>
      <c r="G5" s="9">
        <f>G4/F4-1</f>
        <v/>
      </c>
      <c r="H5" s="9">
        <f>H4/G4-1</f>
        <v/>
      </c>
    </row>
    <row r="6">
      <c r="B6" t="inlineStr">
        <is>
          <t>COGS</t>
        </is>
      </c>
      <c r="C6" s="7">
        <f>C4*Assumptions!C16</f>
        <v/>
      </c>
      <c r="D6" s="7">
        <f>D4*Assumptions!D16</f>
        <v/>
      </c>
      <c r="E6" s="7">
        <f>E4*Assumptions!E16</f>
        <v/>
      </c>
      <c r="F6" s="7">
        <f>F4*Assumptions!F16</f>
        <v/>
      </c>
      <c r="G6" s="7">
        <f>G4*Assumptions!G16</f>
        <v/>
      </c>
      <c r="H6" s="7">
        <f>H4*Assumptions!H16</f>
        <v/>
      </c>
    </row>
    <row r="7">
      <c r="B7" s="10" t="inlineStr">
        <is>
          <t>Gross Profit</t>
        </is>
      </c>
      <c r="C7" s="11">
        <f>C4-C6</f>
        <v/>
      </c>
      <c r="D7" s="11">
        <f>D4-D6</f>
        <v/>
      </c>
      <c r="E7" s="11">
        <f>E4-E6</f>
        <v/>
      </c>
      <c r="F7" s="11">
        <f>F4-F6</f>
        <v/>
      </c>
      <c r="G7" s="11">
        <f>G4-G6</f>
        <v/>
      </c>
      <c r="H7" s="11">
        <f>H4-H6</f>
        <v/>
      </c>
    </row>
    <row r="8">
      <c r="B8" s="8" t="inlineStr">
        <is>
          <t xml:space="preserve">  Gross margin %</t>
        </is>
      </c>
      <c r="C8" s="9">
        <f>C7/C4</f>
        <v/>
      </c>
      <c r="D8" s="9">
        <f>D7/D4</f>
        <v/>
      </c>
      <c r="E8" s="9">
        <f>E7/E4</f>
        <v/>
      </c>
      <c r="F8" s="9">
        <f>F7/F4</f>
        <v/>
      </c>
      <c r="G8" s="9">
        <f>G7/G4</f>
        <v/>
      </c>
      <c r="H8" s="9">
        <f>H7/H4</f>
        <v/>
      </c>
    </row>
    <row r="9">
      <c r="B9" t="inlineStr">
        <is>
          <t>SG&amp;A</t>
        </is>
      </c>
      <c r="C9" s="7">
        <f>C4*Assumptions!C17</f>
        <v/>
      </c>
      <c r="D9" s="7">
        <f>D4*Assumptions!D17</f>
        <v/>
      </c>
      <c r="E9" s="7">
        <f>E4*Assumptions!E17</f>
        <v/>
      </c>
      <c r="F9" s="7">
        <f>F4*Assumptions!F17</f>
        <v/>
      </c>
      <c r="G9" s="7">
        <f>G4*Assumptions!G17</f>
        <v/>
      </c>
      <c r="H9" s="7">
        <f>H4*Assumptions!H17</f>
        <v/>
      </c>
    </row>
    <row r="10">
      <c r="B10" s="10" t="inlineStr">
        <is>
          <t>EBITDA</t>
        </is>
      </c>
      <c r="C10" s="11">
        <f>C7-C9</f>
        <v/>
      </c>
      <c r="D10" s="11">
        <f>D7-D9</f>
        <v/>
      </c>
      <c r="E10" s="11">
        <f>E7-E9</f>
        <v/>
      </c>
      <c r="F10" s="11">
        <f>F7-F9</f>
        <v/>
      </c>
      <c r="G10" s="11">
        <f>G7-G9</f>
        <v/>
      </c>
      <c r="H10" s="11">
        <f>H7-H9</f>
        <v/>
      </c>
    </row>
    <row r="11">
      <c r="B11" s="8" t="inlineStr">
        <is>
          <t xml:space="preserve">  EBITDA margin %</t>
        </is>
      </c>
      <c r="C11" s="9">
        <f>C10/C4</f>
        <v/>
      </c>
      <c r="D11" s="9">
        <f>D10/D4</f>
        <v/>
      </c>
      <c r="E11" s="9">
        <f>E10/E4</f>
        <v/>
      </c>
      <c r="F11" s="9">
        <f>F10/F4</f>
        <v/>
      </c>
      <c r="G11" s="9">
        <f>G10/G4</f>
        <v/>
      </c>
      <c r="H11" s="9">
        <f>H10/H4</f>
        <v/>
      </c>
    </row>
    <row r="12">
      <c r="B12" t="inlineStr">
        <is>
          <t>D&amp;A</t>
        </is>
      </c>
      <c r="C12" s="7">
        <f>C4*Assumptions!C18</f>
        <v/>
      </c>
      <c r="D12" s="7">
        <f>D4*Assumptions!D18</f>
        <v/>
      </c>
      <c r="E12" s="7">
        <f>E4*Assumptions!E18</f>
        <v/>
      </c>
      <c r="F12" s="7">
        <f>F4*Assumptions!F18</f>
        <v/>
      </c>
      <c r="G12" s="7">
        <f>G4*Assumptions!G18</f>
        <v/>
      </c>
      <c r="H12" s="7">
        <f>H4*Assumptions!H18</f>
        <v/>
      </c>
    </row>
    <row r="13">
      <c r="B13" s="10" t="inlineStr">
        <is>
          <t>EBIT</t>
        </is>
      </c>
      <c r="C13" s="11">
        <f>C10-C12</f>
        <v/>
      </c>
      <c r="D13" s="11">
        <f>D10-D12</f>
        <v/>
      </c>
      <c r="E13" s="11">
        <f>E10-E12</f>
        <v/>
      </c>
      <c r="F13" s="11">
        <f>F10-F12</f>
        <v/>
      </c>
      <c r="G13" s="11">
        <f>G10-G12</f>
        <v/>
      </c>
      <c r="H13" s="11">
        <f>H10-H12</f>
        <v/>
      </c>
    </row>
    <row r="14">
      <c r="B14" t="inlineStr">
        <is>
          <t>Interest expense</t>
        </is>
      </c>
      <c r="C14" s="7">
        <f>BS!C14*Assumptions!$C$5</f>
        <v/>
      </c>
      <c r="D14" s="7">
        <f>BS!D14*Assumptions!$C$5</f>
        <v/>
      </c>
      <c r="E14" s="7">
        <f>BS!E14*Assumptions!$C$5</f>
        <v/>
      </c>
      <c r="F14" s="7">
        <f>BS!F14*Assumptions!$C$5</f>
        <v/>
      </c>
      <c r="G14" s="7">
        <f>BS!G14*Assumptions!$C$5</f>
        <v/>
      </c>
      <c r="H14" s="7">
        <f>BS!H14*Assumptions!$C$5</f>
        <v/>
      </c>
    </row>
    <row r="15">
      <c r="B15" t="inlineStr">
        <is>
          <t>EBT</t>
        </is>
      </c>
      <c r="C15" s="7">
        <f>C13-C14</f>
        <v/>
      </c>
      <c r="D15" s="7">
        <f>D13-D14</f>
        <v/>
      </c>
      <c r="E15" s="7">
        <f>E13-E14</f>
        <v/>
      </c>
      <c r="F15" s="7">
        <f>F13-F14</f>
        <v/>
      </c>
      <c r="G15" s="7">
        <f>G13-G14</f>
        <v/>
      </c>
      <c r="H15" s="7">
        <f>H13-H14</f>
        <v/>
      </c>
    </row>
    <row r="16">
      <c r="B16" t="inlineStr">
        <is>
          <t>Taxes</t>
        </is>
      </c>
      <c r="C16" s="7">
        <f>C15*Assumptions!$C$4</f>
        <v/>
      </c>
      <c r="D16" s="7">
        <f>D15*Assumptions!$C$4</f>
        <v/>
      </c>
      <c r="E16" s="7">
        <f>E15*Assumptions!$C$4</f>
        <v/>
      </c>
      <c r="F16" s="7">
        <f>F15*Assumptions!$C$4</f>
        <v/>
      </c>
      <c r="G16" s="7">
        <f>G15*Assumptions!$C$4</f>
        <v/>
      </c>
      <c r="H16" s="7">
        <f>H15*Assumptions!$C$4</f>
        <v/>
      </c>
    </row>
    <row r="17">
      <c r="B17" s="10" t="inlineStr">
        <is>
          <t>Net Income</t>
        </is>
      </c>
      <c r="C17" s="12">
        <f>C15-C16</f>
        <v/>
      </c>
      <c r="D17" s="12">
        <f>D15-D16</f>
        <v/>
      </c>
      <c r="E17" s="12">
        <f>E15-E16</f>
        <v/>
      </c>
      <c r="F17" s="12">
        <f>F15-F16</f>
        <v/>
      </c>
      <c r="G17" s="12">
        <f>G15-G16</f>
        <v/>
      </c>
      <c r="H17" s="12">
        <f>H15-H16</f>
        <v/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B1:H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Balance Sheet</t>
        </is>
      </c>
    </row>
    <row r="2">
      <c r="C2" s="6" t="inlineStr">
        <is>
          <t>2025A</t>
        </is>
      </c>
      <c r="D2" s="6" t="inlineStr">
        <is>
          <t>2026E</t>
        </is>
      </c>
      <c r="E2" s="6" t="inlineStr">
        <is>
          <t>2027E</t>
        </is>
      </c>
      <c r="F2" s="6" t="inlineStr">
        <is>
          <t>2028E</t>
        </is>
      </c>
      <c r="G2" s="6" t="inlineStr">
        <is>
          <t>2029E</t>
        </is>
      </c>
      <c r="H2" s="6" t="inlineStr">
        <is>
          <t>2030E</t>
        </is>
      </c>
    </row>
    <row r="3">
      <c r="B3" s="2" t="inlineStr">
        <is>
          <t>Assets</t>
        </is>
      </c>
    </row>
    <row r="4">
      <c r="B4" t="inlineStr">
        <is>
          <t>Cash</t>
        </is>
      </c>
      <c r="C4" s="5" t="n">
        <v>50000000</v>
      </c>
      <c r="D4" s="7">
        <f>C4+CFS!D19</f>
        <v/>
      </c>
      <c r="E4" s="7">
        <f>D4+CFS!E19</f>
        <v/>
      </c>
      <c r="F4" s="7">
        <f>E4+CFS!F19</f>
        <v/>
      </c>
      <c r="G4" s="7">
        <f>F4+CFS!G19</f>
        <v/>
      </c>
      <c r="H4" s="7">
        <f>G4+CFS!H19</f>
        <v/>
      </c>
    </row>
    <row r="5">
      <c r="B5" t="inlineStr">
        <is>
          <t>Accounts Receivable</t>
        </is>
      </c>
      <c r="C5" s="7">
        <f>IS!C4*Assumptions!$C$8/365</f>
        <v/>
      </c>
      <c r="D5" s="7">
        <f>IS!D4*Assumptions!$C$8/365</f>
        <v/>
      </c>
      <c r="E5" s="7">
        <f>IS!E4*Assumptions!$C$8/365</f>
        <v/>
      </c>
      <c r="F5" s="7">
        <f>IS!F4*Assumptions!$C$8/365</f>
        <v/>
      </c>
      <c r="G5" s="7">
        <f>IS!G4*Assumptions!$C$8/365</f>
        <v/>
      </c>
      <c r="H5" s="7">
        <f>IS!H4*Assumptions!$C$8/365</f>
        <v/>
      </c>
    </row>
    <row r="6">
      <c r="B6" t="inlineStr">
        <is>
          <t>Inventory</t>
        </is>
      </c>
      <c r="C6" s="7">
        <f>IS!C6*Assumptions!$C$9/365</f>
        <v/>
      </c>
      <c r="D6" s="7">
        <f>IS!D6*Assumptions!$C$9/365</f>
        <v/>
      </c>
      <c r="E6" s="7">
        <f>IS!E6*Assumptions!$C$9/365</f>
        <v/>
      </c>
      <c r="F6" s="7">
        <f>IS!F6*Assumptions!$C$9/365</f>
        <v/>
      </c>
      <c r="G6" s="7">
        <f>IS!G6*Assumptions!$C$9/365</f>
        <v/>
      </c>
      <c r="H6" s="7">
        <f>IS!H6*Assumptions!$C$9/365</f>
        <v/>
      </c>
    </row>
    <row r="7">
      <c r="B7" s="10" t="inlineStr">
        <is>
          <t>Total Current Assets</t>
        </is>
      </c>
      <c r="C7" s="11">
        <f>SUM(C4:C6)</f>
        <v/>
      </c>
      <c r="D7" s="11">
        <f>SUM(D4:D6)</f>
        <v/>
      </c>
      <c r="E7" s="11">
        <f>SUM(E4:E6)</f>
        <v/>
      </c>
      <c r="F7" s="11">
        <f>SUM(F4:F6)</f>
        <v/>
      </c>
      <c r="G7" s="11">
        <f>SUM(G4:G6)</f>
        <v/>
      </c>
      <c r="H7" s="11">
        <f>SUM(H4:H6)</f>
        <v/>
      </c>
    </row>
    <row r="8">
      <c r="B8" t="inlineStr">
        <is>
          <t>PP&amp;E, net</t>
        </is>
      </c>
      <c r="C8" s="5" t="n">
        <v>200000000</v>
      </c>
      <c r="D8" s="7">
        <f>C8+IS!D4*Assumptions!$C$19-IS!D12</f>
        <v/>
      </c>
      <c r="E8" s="7">
        <f>D8+IS!E4*Assumptions!$C$19-IS!E12</f>
        <v/>
      </c>
      <c r="F8" s="7">
        <f>E8+IS!F4*Assumptions!$C$19-IS!F12</f>
        <v/>
      </c>
      <c r="G8" s="7">
        <f>F8+IS!G4*Assumptions!$C$19-IS!G12</f>
        <v/>
      </c>
      <c r="H8" s="7">
        <f>G8+IS!H4*Assumptions!$C$19-IS!H12</f>
        <v/>
      </c>
    </row>
    <row r="9">
      <c r="B9" s="10" t="inlineStr">
        <is>
          <t>Total Assets</t>
        </is>
      </c>
      <c r="C9" s="12">
        <f>C7+C8</f>
        <v/>
      </c>
      <c r="D9" s="12">
        <f>D7+D8</f>
        <v/>
      </c>
      <c r="E9" s="12">
        <f>E7+E8</f>
        <v/>
      </c>
      <c r="F9" s="12">
        <f>F7+F8</f>
        <v/>
      </c>
      <c r="G9" s="12">
        <f>G7+G8</f>
        <v/>
      </c>
      <c r="H9" s="12">
        <f>H7+H8</f>
        <v/>
      </c>
    </row>
    <row r="11">
      <c r="B11" s="2" t="inlineStr">
        <is>
          <t>Liabilities</t>
        </is>
      </c>
    </row>
    <row r="12">
      <c r="B12" t="inlineStr">
        <is>
          <t>Accounts Payable</t>
        </is>
      </c>
      <c r="C12" s="7">
        <f>IS!C6*Assumptions!$C$10/365</f>
        <v/>
      </c>
      <c r="D12" s="7">
        <f>IS!D6*Assumptions!$C$10/365</f>
        <v/>
      </c>
      <c r="E12" s="7">
        <f>IS!E6*Assumptions!$C$10/365</f>
        <v/>
      </c>
      <c r="F12" s="7">
        <f>IS!F6*Assumptions!$C$10/365</f>
        <v/>
      </c>
      <c r="G12" s="7">
        <f>IS!G6*Assumptions!$C$10/365</f>
        <v/>
      </c>
      <c r="H12" s="7">
        <f>IS!H6*Assumptions!$C$10/365</f>
        <v/>
      </c>
    </row>
    <row r="13">
      <c r="B13" s="10" t="inlineStr">
        <is>
          <t>Total Current Liabilities</t>
        </is>
      </c>
      <c r="C13" s="11">
        <f>C12</f>
        <v/>
      </c>
      <c r="D13" s="11">
        <f>D12</f>
        <v/>
      </c>
      <c r="E13" s="11">
        <f>E12</f>
        <v/>
      </c>
      <c r="F13" s="11">
        <f>F12</f>
        <v/>
      </c>
      <c r="G13" s="11">
        <f>G12</f>
        <v/>
      </c>
      <c r="H13" s="11">
        <f>H12</f>
        <v/>
      </c>
    </row>
    <row r="14">
      <c r="B14" t="inlineStr">
        <is>
          <t>Debt</t>
        </is>
      </c>
      <c r="C14" s="5" t="n">
        <v>100000000</v>
      </c>
      <c r="D14" s="7">
        <f>C14</f>
        <v/>
      </c>
      <c r="E14" s="7">
        <f>D14</f>
        <v/>
      </c>
      <c r="F14" s="7">
        <f>E14</f>
        <v/>
      </c>
      <c r="G14" s="7">
        <f>F14</f>
        <v/>
      </c>
      <c r="H14" s="7">
        <f>G14</f>
        <v/>
      </c>
    </row>
    <row r="15">
      <c r="B15" s="10" t="inlineStr">
        <is>
          <t>Total Liabilities</t>
        </is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11">
        <f>G13+G14</f>
        <v/>
      </c>
      <c r="H15" s="11">
        <f>H13+H14</f>
        <v/>
      </c>
    </row>
    <row r="17">
      <c r="B17" s="2" t="inlineStr">
        <is>
          <t>Equity</t>
        </is>
      </c>
    </row>
    <row r="18">
      <c r="B18" t="inlineStr">
        <is>
          <t>Common Stock</t>
        </is>
      </c>
      <c r="C18" s="5" t="n">
        <v>150000000</v>
      </c>
      <c r="D18" s="7">
        <f>C18</f>
        <v/>
      </c>
      <c r="E18" s="7">
        <f>D18</f>
        <v/>
      </c>
      <c r="F18" s="7">
        <f>E18</f>
        <v/>
      </c>
      <c r="G18" s="7">
        <f>F18</f>
        <v/>
      </c>
      <c r="H18" s="7">
        <f>G18</f>
        <v/>
      </c>
    </row>
    <row r="19">
      <c r="B19" t="inlineStr">
        <is>
          <t>Retained Earnings</t>
        </is>
      </c>
      <c r="C19" s="7">
        <f>C9-C15-C18</f>
        <v/>
      </c>
      <c r="D19" s="7">
        <f>C19+IS!D17</f>
        <v/>
      </c>
      <c r="E19" s="7">
        <f>D19+IS!E17</f>
        <v/>
      </c>
      <c r="F19" s="7">
        <f>E19+IS!F17</f>
        <v/>
      </c>
      <c r="G19" s="7">
        <f>F19+IS!G17</f>
        <v/>
      </c>
      <c r="H19" s="7">
        <f>G19+IS!H17</f>
        <v/>
      </c>
    </row>
    <row r="20">
      <c r="B20" s="10" t="inlineStr">
        <is>
          <t>Total Equity</t>
        </is>
      </c>
      <c r="C20" s="11">
        <f>C18+C19</f>
        <v/>
      </c>
      <c r="D20" s="11">
        <f>D18+D19</f>
        <v/>
      </c>
      <c r="E20" s="11">
        <f>E18+E19</f>
        <v/>
      </c>
      <c r="F20" s="11">
        <f>F18+F19</f>
        <v/>
      </c>
      <c r="G20" s="11">
        <f>G18+G19</f>
        <v/>
      </c>
      <c r="H20" s="11">
        <f>H18+H19</f>
        <v/>
      </c>
    </row>
    <row r="21">
      <c r="B21" s="10" t="inlineStr">
        <is>
          <t>Total Liabilities &amp; Equity</t>
        </is>
      </c>
      <c r="C21" s="12">
        <f>C15+C20</f>
        <v/>
      </c>
      <c r="D21" s="12">
        <f>D15+D20</f>
        <v/>
      </c>
      <c r="E21" s="12">
        <f>E15+E20</f>
        <v/>
      </c>
      <c r="F21" s="12">
        <f>F15+F20</f>
        <v/>
      </c>
      <c r="G21" s="12">
        <f>G15+G20</f>
        <v/>
      </c>
      <c r="H21" s="12">
        <f>H15+H20</f>
        <v/>
      </c>
    </row>
    <row r="23">
      <c r="B23" s="8" t="inlineStr">
        <is>
          <t>Check (Assets − Liab. &amp; Equity)</t>
        </is>
      </c>
      <c r="C23" s="13">
        <f>C9-C21</f>
        <v/>
      </c>
      <c r="D23" s="13">
        <f>D9-D21</f>
        <v/>
      </c>
      <c r="E23" s="13">
        <f>E9-E21</f>
        <v/>
      </c>
      <c r="F23" s="13">
        <f>F9-F21</f>
        <v/>
      </c>
      <c r="G23" s="13">
        <f>G9-G21</f>
        <v/>
      </c>
      <c r="H23" s="13">
        <f>H9-H21</f>
        <v/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C"/>
    <outlinePr summaryBelow="1" summaryRight="1"/>
    <pageSetUpPr/>
  </sheetPr>
  <dimension ref="B1:H2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Cash Flow Statement</t>
        </is>
      </c>
    </row>
    <row r="2">
      <c r="D2" s="6" t="inlineStr">
        <is>
          <t>2026E</t>
        </is>
      </c>
      <c r="E2" s="6" t="inlineStr">
        <is>
          <t>2027E</t>
        </is>
      </c>
      <c r="F2" s="6" t="inlineStr">
        <is>
          <t>2028E</t>
        </is>
      </c>
      <c r="G2" s="6" t="inlineStr">
        <is>
          <t>2029E</t>
        </is>
      </c>
      <c r="H2" s="6" t="inlineStr">
        <is>
          <t>2030E</t>
        </is>
      </c>
    </row>
    <row r="3">
      <c r="B3" s="2" t="inlineStr">
        <is>
          <t>Operating Activities</t>
        </is>
      </c>
    </row>
    <row r="4">
      <c r="B4" t="inlineStr">
        <is>
          <t>Net Income</t>
        </is>
      </c>
      <c r="D4" s="7">
        <f>IS!D17</f>
        <v/>
      </c>
      <c r="E4" s="7">
        <f>IS!E17</f>
        <v/>
      </c>
      <c r="F4" s="7">
        <f>IS!F17</f>
        <v/>
      </c>
      <c r="G4" s="7">
        <f>IS!G17</f>
        <v/>
      </c>
      <c r="H4" s="7">
        <f>IS!H17</f>
        <v/>
      </c>
    </row>
    <row r="5">
      <c r="B5" t="inlineStr">
        <is>
          <t>(+) D&amp;A</t>
        </is>
      </c>
      <c r="D5" s="7">
        <f>IS!D12</f>
        <v/>
      </c>
      <c r="E5" s="7">
        <f>IS!E12</f>
        <v/>
      </c>
      <c r="F5" s="7">
        <f>IS!F12</f>
        <v/>
      </c>
      <c r="G5" s="7">
        <f>IS!G12</f>
        <v/>
      </c>
      <c r="H5" s="7">
        <f>IS!H12</f>
        <v/>
      </c>
    </row>
    <row r="6">
      <c r="B6" t="inlineStr">
        <is>
          <t>(-) Increase in Accounts Receivable</t>
        </is>
      </c>
      <c r="D6" s="7">
        <f>-(BS!D5-BS!C5)</f>
        <v/>
      </c>
      <c r="E6" s="7">
        <f>-(BS!E5-BS!D5)</f>
        <v/>
      </c>
      <c r="F6" s="7">
        <f>-(BS!F5-BS!E5)</f>
        <v/>
      </c>
      <c r="G6" s="7">
        <f>-(BS!G5-BS!F5)</f>
        <v/>
      </c>
      <c r="H6" s="7">
        <f>-(BS!H5-BS!G5)</f>
        <v/>
      </c>
    </row>
    <row r="7">
      <c r="B7" t="inlineStr">
        <is>
          <t>(-) Increase in Inventory</t>
        </is>
      </c>
      <c r="D7" s="7">
        <f>-(BS!D6-BS!C6)</f>
        <v/>
      </c>
      <c r="E7" s="7">
        <f>-(BS!E6-BS!D6)</f>
        <v/>
      </c>
      <c r="F7" s="7">
        <f>-(BS!F6-BS!E6)</f>
        <v/>
      </c>
      <c r="G7" s="7">
        <f>-(BS!G6-BS!F6)</f>
        <v/>
      </c>
      <c r="H7" s="7">
        <f>-(BS!H6-BS!G6)</f>
        <v/>
      </c>
    </row>
    <row r="8">
      <c r="B8" t="inlineStr">
        <is>
          <t>(+) Increase in Accounts Payable</t>
        </is>
      </c>
      <c r="D8" s="7">
        <f>BS!D12-BS!C12</f>
        <v/>
      </c>
      <c r="E8" s="7">
        <f>BS!E12-BS!D12</f>
        <v/>
      </c>
      <c r="F8" s="7">
        <f>BS!F12-BS!E12</f>
        <v/>
      </c>
      <c r="G8" s="7">
        <f>BS!G12-BS!F12</f>
        <v/>
      </c>
      <c r="H8" s="7">
        <f>BS!H12-BS!G12</f>
        <v/>
      </c>
    </row>
    <row r="9">
      <c r="B9" s="10" t="inlineStr">
        <is>
          <t>Cash from Operations</t>
        </is>
      </c>
      <c r="D9" s="11">
        <f>SUM(D4:D8)</f>
        <v/>
      </c>
      <c r="E9" s="11">
        <f>SUM(E4:E8)</f>
        <v/>
      </c>
      <c r="F9" s="11">
        <f>SUM(F4:F8)</f>
        <v/>
      </c>
      <c r="G9" s="11">
        <f>SUM(G4:G8)</f>
        <v/>
      </c>
      <c r="H9" s="11">
        <f>SUM(H4:H8)</f>
        <v/>
      </c>
    </row>
    <row r="11">
      <c r="B11" s="2" t="inlineStr">
        <is>
          <t>Investing Activities</t>
        </is>
      </c>
    </row>
    <row r="12">
      <c r="B12" t="inlineStr">
        <is>
          <t>CapEx</t>
        </is>
      </c>
      <c r="D12" s="7">
        <f>-(IS!D4*Assumptions!$C$19)</f>
        <v/>
      </c>
      <c r="E12" s="7">
        <f>-(IS!E4*Assumptions!$C$19)</f>
        <v/>
      </c>
      <c r="F12" s="7">
        <f>-(IS!F4*Assumptions!$C$19)</f>
        <v/>
      </c>
      <c r="G12" s="7">
        <f>-(IS!G4*Assumptions!$C$19)</f>
        <v/>
      </c>
      <c r="H12" s="7">
        <f>-(IS!H4*Assumptions!$C$19)</f>
        <v/>
      </c>
    </row>
    <row r="13">
      <c r="B13" s="10" t="inlineStr">
        <is>
          <t>Cash from Investing</t>
        </is>
      </c>
      <c r="D13" s="11">
        <f>D12</f>
        <v/>
      </c>
      <c r="E13" s="11">
        <f>E12</f>
        <v/>
      </c>
      <c r="F13" s="11">
        <f>F12</f>
        <v/>
      </c>
      <c r="G13" s="11">
        <f>G12</f>
        <v/>
      </c>
      <c r="H13" s="11">
        <f>H12</f>
        <v/>
      </c>
    </row>
    <row r="15">
      <c r="B15" s="2" t="inlineStr">
        <is>
          <t>Financing Activities</t>
        </is>
      </c>
    </row>
    <row r="16">
      <c r="B16" t="inlineStr">
        <is>
          <t>Debt issuance / (repayment)</t>
        </is>
      </c>
      <c r="D16" s="7">
        <f>BS!D14-BS!C14</f>
        <v/>
      </c>
      <c r="E16" s="7">
        <f>BS!E14-BS!D14</f>
        <v/>
      </c>
      <c r="F16" s="7">
        <f>BS!F14-BS!E14</f>
        <v/>
      </c>
      <c r="G16" s="7">
        <f>BS!G14-BS!F14</f>
        <v/>
      </c>
      <c r="H16" s="7">
        <f>BS!H14-BS!G14</f>
        <v/>
      </c>
    </row>
    <row r="17">
      <c r="B17" s="10" t="inlineStr">
        <is>
          <t>Cash from Financing</t>
        </is>
      </c>
      <c r="D17" s="11">
        <f>D16</f>
        <v/>
      </c>
      <c r="E17" s="11">
        <f>E16</f>
        <v/>
      </c>
      <c r="F17" s="11">
        <f>F16</f>
        <v/>
      </c>
      <c r="G17" s="11">
        <f>G16</f>
        <v/>
      </c>
      <c r="H17" s="11">
        <f>H16</f>
        <v/>
      </c>
    </row>
    <row r="19">
      <c r="B19" s="10" t="inlineStr">
        <is>
          <t>Net change in cash</t>
        </is>
      </c>
      <c r="D19" s="11">
        <f>D9+D13+D17</f>
        <v/>
      </c>
      <c r="E19" s="11">
        <f>E9+E13+E17</f>
        <v/>
      </c>
      <c r="F19" s="11">
        <f>F9+F13+F17</f>
        <v/>
      </c>
      <c r="G19" s="11">
        <f>G9+G13+G17</f>
        <v/>
      </c>
      <c r="H19" s="11">
        <f>H9+H13+H17</f>
        <v/>
      </c>
    </row>
    <row r="20">
      <c r="B20" t="inlineStr">
        <is>
          <t>Beginning cash</t>
        </is>
      </c>
      <c r="D20" s="7">
        <f>BS!C4</f>
        <v/>
      </c>
      <c r="E20" s="7">
        <f>BS!D4</f>
        <v/>
      </c>
      <c r="F20" s="7">
        <f>BS!E4</f>
        <v/>
      </c>
      <c r="G20" s="7">
        <f>BS!F4</f>
        <v/>
      </c>
      <c r="H20" s="7">
        <f>BS!G4</f>
        <v/>
      </c>
    </row>
    <row r="21">
      <c r="B21" s="10" t="inlineStr">
        <is>
          <t>Ending cash</t>
        </is>
      </c>
      <c r="D21" s="12">
        <f>D19+D20</f>
        <v/>
      </c>
      <c r="E21" s="12">
        <f>E19+E20</f>
        <v/>
      </c>
      <c r="F21" s="12">
        <f>F19+F20</f>
        <v/>
      </c>
      <c r="G21" s="12">
        <f>G19+G20</f>
        <v/>
      </c>
      <c r="H21" s="12">
        <f>H19+H20</f>
        <v/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1130"/>
    <outlinePr summaryBelow="1" summaryRight="1"/>
    <pageSetUpPr/>
  </sheetPr>
  <dimension ref="B1:H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" t="inlineStr">
        <is>
          <t>Discounted Cash Flow</t>
        </is>
      </c>
    </row>
    <row r="2">
      <c r="D2" s="6" t="inlineStr">
        <is>
          <t>2026E</t>
        </is>
      </c>
      <c r="E2" s="6" t="inlineStr">
        <is>
          <t>2027E</t>
        </is>
      </c>
      <c r="F2" s="6" t="inlineStr">
        <is>
          <t>2028E</t>
        </is>
      </c>
      <c r="G2" s="6" t="inlineStr">
        <is>
          <t>2029E</t>
        </is>
      </c>
      <c r="H2" s="6" t="inlineStr">
        <is>
          <t>2030E</t>
        </is>
      </c>
    </row>
    <row r="4">
      <c r="B4" t="inlineStr">
        <is>
          <t>EBIT</t>
        </is>
      </c>
      <c r="D4" s="7">
        <f>IS!D13</f>
        <v/>
      </c>
      <c r="E4" s="7">
        <f>IS!E13</f>
        <v/>
      </c>
      <c r="F4" s="7">
        <f>IS!F13</f>
        <v/>
      </c>
      <c r="G4" s="7">
        <f>IS!G13</f>
        <v/>
      </c>
      <c r="H4" s="7">
        <f>IS!H13</f>
        <v/>
      </c>
    </row>
    <row r="5">
      <c r="B5" s="8" t="inlineStr">
        <is>
          <t>Tax rate</t>
        </is>
      </c>
      <c r="D5" s="9">
        <f>Assumptions!$C$4</f>
        <v/>
      </c>
      <c r="E5" s="9">
        <f>Assumptions!$C$4</f>
        <v/>
      </c>
      <c r="F5" s="9">
        <f>Assumptions!$C$4</f>
        <v/>
      </c>
      <c r="G5" s="9">
        <f>Assumptions!$C$4</f>
        <v/>
      </c>
      <c r="H5" s="9">
        <f>Assumptions!$C$4</f>
        <v/>
      </c>
    </row>
    <row r="6">
      <c r="B6" t="inlineStr">
        <is>
          <t>NOPAT</t>
        </is>
      </c>
      <c r="D6" s="7">
        <f>D4*(1-D5)</f>
        <v/>
      </c>
      <c r="E6" s="7">
        <f>E4*(1-E5)</f>
        <v/>
      </c>
      <c r="F6" s="7">
        <f>F4*(1-F5)</f>
        <v/>
      </c>
      <c r="G6" s="7">
        <f>G4*(1-G5)</f>
        <v/>
      </c>
      <c r="H6" s="7">
        <f>H4*(1-H5)</f>
        <v/>
      </c>
    </row>
    <row r="7">
      <c r="B7" t="inlineStr">
        <is>
          <t>(+) D&amp;A</t>
        </is>
      </c>
      <c r="D7" s="7">
        <f>IS!D12</f>
        <v/>
      </c>
      <c r="E7" s="7">
        <f>IS!E12</f>
        <v/>
      </c>
      <c r="F7" s="7">
        <f>IS!F12</f>
        <v/>
      </c>
      <c r="G7" s="7">
        <f>IS!G12</f>
        <v/>
      </c>
      <c r="H7" s="7">
        <f>IS!H12</f>
        <v/>
      </c>
    </row>
    <row r="8">
      <c r="B8" t="inlineStr">
        <is>
          <t>CapEx</t>
        </is>
      </c>
      <c r="D8" s="7">
        <f>CFS!D12</f>
        <v/>
      </c>
      <c r="E8" s="7">
        <f>CFS!E12</f>
        <v/>
      </c>
      <c r="F8" s="7">
        <f>CFS!F12</f>
        <v/>
      </c>
      <c r="G8" s="7">
        <f>CFS!G12</f>
        <v/>
      </c>
      <c r="H8" s="7">
        <f>CFS!H12</f>
        <v/>
      </c>
    </row>
    <row r="9">
      <c r="B9" t="inlineStr">
        <is>
          <t>Increase in NWC</t>
        </is>
      </c>
      <c r="D9" s="7">
        <f>(BS!D5+BS!D6-BS!D12)-(BS!C5+BS!C6-BS!C12)</f>
        <v/>
      </c>
      <c r="E9" s="7">
        <f>(BS!E5+BS!E6-BS!E12)-(BS!D5+BS!D6-BS!D12)</f>
        <v/>
      </c>
      <c r="F9" s="7">
        <f>(BS!F5+BS!F6-BS!F12)-(BS!E5+BS!E6-BS!E12)</f>
        <v/>
      </c>
      <c r="G9" s="7">
        <f>(BS!G5+BS!G6-BS!G12)-(BS!F5+BS!F6-BS!F12)</f>
        <v/>
      </c>
      <c r="H9" s="7">
        <f>(BS!H5+BS!H6-BS!H12)-(BS!G5+BS!G6-BS!G12)</f>
        <v/>
      </c>
    </row>
    <row r="10">
      <c r="B10" s="10" t="inlineStr">
        <is>
          <t>Unlevered Free Cash Flow</t>
        </is>
      </c>
      <c r="D10" s="11">
        <f>D6+D7+D8-D9</f>
        <v/>
      </c>
      <c r="E10" s="11">
        <f>E6+E7+E8-E9</f>
        <v/>
      </c>
      <c r="F10" s="11">
        <f>F6+F7+F8-F9</f>
        <v/>
      </c>
      <c r="G10" s="11">
        <f>G6+G7+G8-G9</f>
        <v/>
      </c>
      <c r="H10" s="11">
        <f>H6+H7+H8-H9</f>
        <v/>
      </c>
    </row>
    <row r="12">
      <c r="B12" t="inlineStr">
        <is>
          <t>Discount factor</t>
        </is>
      </c>
      <c r="D12" s="14">
        <f>1/(1+Assumptions!$C$6)^1</f>
        <v/>
      </c>
      <c r="E12" s="14">
        <f>1/(1+Assumptions!$C$6)^2</f>
        <v/>
      </c>
      <c r="F12" s="14">
        <f>1/(1+Assumptions!$C$6)^3</f>
        <v/>
      </c>
      <c r="G12" s="14">
        <f>1/(1+Assumptions!$C$6)^4</f>
        <v/>
      </c>
      <c r="H12" s="14">
        <f>1/(1+Assumptions!$C$6)^5</f>
        <v/>
      </c>
    </row>
    <row r="13">
      <c r="B13" s="10" t="inlineStr">
        <is>
          <t>Discounted FCF</t>
        </is>
      </c>
      <c r="D13" s="15">
        <f>D10*D12</f>
        <v/>
      </c>
      <c r="E13" s="15">
        <f>E10*E12</f>
        <v/>
      </c>
      <c r="F13" s="15">
        <f>F10*F12</f>
        <v/>
      </c>
      <c r="G13" s="15">
        <f>G10*G12</f>
        <v/>
      </c>
      <c r="H13" s="15">
        <f>H10*H12</f>
        <v/>
      </c>
    </row>
    <row r="16">
      <c r="B16" t="inlineStr">
        <is>
          <t>Terminal value</t>
        </is>
      </c>
      <c r="H16" s="7">
        <f>H10*(1+Assumptions!$C$7)/(Assumptions!$C$6-Assumptions!$C$7)</f>
        <v/>
      </c>
    </row>
    <row r="17">
      <c r="B17" t="inlineStr">
        <is>
          <t>Discounted terminal value</t>
        </is>
      </c>
      <c r="H17" s="7">
        <f>H16*H12</f>
        <v/>
      </c>
    </row>
    <row r="20">
      <c r="B20" s="10" t="inlineStr">
        <is>
          <t>Enterprise Value</t>
        </is>
      </c>
      <c r="C20" s="11">
        <f>SUM(D13:H13)+H17</f>
        <v/>
      </c>
    </row>
    <row r="21">
      <c r="B21" t="inlineStr">
        <is>
          <t>Less: Net Debt</t>
        </is>
      </c>
      <c r="C21" s="7">
        <f>-(BS!C14-BS!C4)</f>
        <v/>
      </c>
    </row>
    <row r="22">
      <c r="B22" s="10" t="inlineStr">
        <is>
          <t>Equity Value</t>
        </is>
      </c>
      <c r="C22" s="12">
        <f>C20+C21</f>
        <v/>
      </c>
    </row>
    <row r="23">
      <c r="B23" s="10" t="inlineStr">
        <is>
          <t>Value per Share</t>
        </is>
      </c>
      <c r="C23" s="16">
        <f>C22/Assumptions!$C$11</f>
        <v/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2026-07-16T20:27:28Z</dcterms:created>
  <dcterms:modified xsi:type="dcterms:W3CDTF">2026-07-16T20:27:28Z</dcterms:modified>
</cp:coreProperties>
</file>