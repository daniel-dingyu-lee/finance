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Sources &amp; Uses" sheetId="2" state="visible" r:id="rId2"/>
    <sheet name="Operating Model" sheetId="3" state="visible" r:id="rId3"/>
    <sheet name="Free Cash Flow" sheetId="4" state="visible" r:id="rId4"/>
    <sheet name="Debt Schedule" sheetId="5" state="visible" r:id="rId5"/>
    <sheet name="Retur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x&quot;"/>
    <numFmt numFmtId="165" formatCode="0.0%"/>
    <numFmt numFmtId="166" formatCode="#,##0.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808080"/>
      <sz val="9"/>
    </font>
    <font>
      <b val="1"/>
      <color rgb="001F3864"/>
      <sz val="11"/>
    </font>
    <font/>
    <font>
      <color rgb="001F4E78"/>
    </font>
    <font>
      <b val="1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1" pivotButton="0" quotePrefix="0" xfId="0"/>
    <xf numFmtId="164" fontId="5" fillId="3" borderId="1" pivotButton="0" quotePrefix="0" xfId="0"/>
    <xf numFmtId="165" fontId="5" fillId="3" borderId="1" pivotButton="0" quotePrefix="0" xfId="0"/>
    <xf numFmtId="166" fontId="5" fillId="3" borderId="1" pivotButton="0" quotePrefix="0" xfId="0"/>
    <xf numFmtId="10" fontId="0" fillId="0" borderId="1" pivotButton="0" quotePrefix="0" xfId="0"/>
    <xf numFmtId="0" fontId="6" fillId="0" borderId="0" pivotButton="0" quotePrefix="0" xfId="0"/>
    <xf numFmtId="166" fontId="6" fillId="0" borderId="1" pivotButton="0" quotePrefix="0" xfId="0"/>
    <xf numFmtId="166" fontId="0" fillId="0" borderId="1" pivotButton="0" quotePrefix="0" xfId="0"/>
    <xf numFmtId="0" fontId="6" fillId="4" borderId="0" pivotButton="0" quotePrefix="0" xfId="0"/>
    <xf numFmtId="166" fontId="6" fillId="4" borderId="1" pivotButton="0" quotePrefix="0" xfId="0"/>
    <xf numFmtId="164" fontId="0" fillId="0" borderId="1" pivotButton="0" quotePrefix="0" xfId="0"/>
    <xf numFmtId="0" fontId="6" fillId="0" borderId="0" applyAlignment="1" pivotButton="0" quotePrefix="0" xfId="0">
      <alignment horizontal="center"/>
    </xf>
    <xf numFmtId="1" fontId="0" fillId="0" borderId="0" pivotButton="0" quotePrefix="0" xfId="0"/>
    <xf numFmtId="165" fontId="0" fillId="0" borderId="1" pivotButton="0" quotePrefix="0" xfId="0"/>
    <xf numFmtId="0" fontId="0" fillId="0" borderId="1" pivotButton="0" quotePrefix="0" xfId="0"/>
    <xf numFmtId="1" fontId="0" fillId="0" borderId="1" pivotButton="0" quotePrefix="0" xfId="0"/>
    <xf numFmtId="0" fontId="6" fillId="0" borderId="1" pivotButton="0" quotePrefix="0" xfId="0"/>
    <xf numFmtId="164" fontId="6" fillId="0" borderId="1" pivotButton="0" quotePrefix="0" xfId="0"/>
    <xf numFmtId="165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Complex LBO Model — Assumptions</t>
        </is>
      </c>
    </row>
    <row r="2">
      <c r="A2" s="2" t="inlineStr">
        <is>
          <t>Yellow cells = hardcoded inputs. Change these to drive the whole model.</t>
        </is>
      </c>
    </row>
    <row r="4">
      <c r="A4" s="3" t="inlineStr">
        <is>
          <t>Transaction</t>
        </is>
      </c>
    </row>
    <row r="5">
      <c r="A5" s="4" t="inlineStr">
        <is>
          <t>Transaction / Entry Year</t>
        </is>
      </c>
      <c r="B5" s="5" t="n">
        <v>2026</v>
      </c>
    </row>
    <row r="6">
      <c r="A6" s="4" t="inlineStr">
        <is>
          <t>Hold Period (years)</t>
        </is>
      </c>
      <c r="B6" s="5" t="n">
        <v>5</v>
      </c>
    </row>
    <row r="7">
      <c r="A7" s="4" t="inlineStr">
        <is>
          <t>Entry EV / EBITDA Multiple</t>
        </is>
      </c>
      <c r="B7" s="6" t="n">
        <v>9</v>
      </c>
    </row>
    <row r="8">
      <c r="A8" s="4" t="inlineStr">
        <is>
          <t>Exit EV / EBITDA Multiple</t>
        </is>
      </c>
      <c r="B8" s="6" t="n">
        <v>9</v>
      </c>
    </row>
    <row r="9">
      <c r="A9" s="4" t="inlineStr">
        <is>
          <t>Transaction Fees (% of EV)</t>
        </is>
      </c>
      <c r="B9" s="7" t="n">
        <v>0.02</v>
      </c>
    </row>
    <row r="10">
      <c r="A10" s="4" t="inlineStr">
        <is>
          <t>Financing Fees (% of Total Debt)</t>
        </is>
      </c>
      <c r="B10" s="7" t="n">
        <v>0.02</v>
      </c>
    </row>
    <row r="12">
      <c r="A12" s="3" t="inlineStr">
        <is>
          <t>Operating Assumptions (Entry Year, Annual)</t>
        </is>
      </c>
    </row>
    <row r="13">
      <c r="A13" s="4" t="inlineStr">
        <is>
          <t>Entry Revenue ($mm, annual)</t>
        </is>
      </c>
      <c r="B13" s="8" t="n">
        <v>500</v>
      </c>
    </row>
    <row r="14">
      <c r="A14" s="4" t="inlineStr">
        <is>
          <t>Revenue Growth Rate (annual)</t>
        </is>
      </c>
      <c r="B14" s="7" t="n">
        <v>0.06</v>
      </c>
    </row>
    <row r="15">
      <c r="A15" s="4" t="inlineStr">
        <is>
          <t>Entry EBITDA Margin</t>
        </is>
      </c>
      <c r="B15" s="7" t="n">
        <v>0.22</v>
      </c>
    </row>
    <row r="16">
      <c r="A16" s="4" t="inlineStr">
        <is>
          <t>EBITDA Margin Expansion (bps/yr)</t>
        </is>
      </c>
      <c r="B16" s="7" t="n">
        <v>0.0025</v>
      </c>
    </row>
    <row r="17">
      <c r="A17" s="4" t="inlineStr">
        <is>
          <t>D&amp;A (% of Revenue)</t>
        </is>
      </c>
      <c r="B17" s="7" t="n">
        <v>0.035</v>
      </c>
    </row>
    <row r="18">
      <c r="A18" s="4" t="inlineStr">
        <is>
          <t>Capex (% of Revenue)</t>
        </is>
      </c>
      <c r="B18" s="7" t="n">
        <v>0.03</v>
      </c>
    </row>
    <row r="19">
      <c r="A19" s="4" t="inlineStr">
        <is>
          <t>Change in NWC (% of Rev. Growth $)</t>
        </is>
      </c>
      <c r="B19" s="7" t="n">
        <v>0.15</v>
      </c>
    </row>
    <row r="20">
      <c r="A20" s="4" t="inlineStr">
        <is>
          <t>Tax Rate</t>
        </is>
      </c>
      <c r="B20" s="7" t="n">
        <v>0.25</v>
      </c>
    </row>
    <row r="21">
      <c r="A21" s="4" t="inlineStr">
        <is>
          <t xml:space="preserve">  Quarterly Revenue Growth Rate (derived)</t>
        </is>
      </c>
      <c r="B21" s="9">
        <f>(1+B14)^(1/4)-1</f>
        <v/>
      </c>
    </row>
    <row r="22">
      <c r="A22" s="4" t="inlineStr">
        <is>
          <t xml:space="preserve">  Quarterly Margin Expansion (derived)</t>
        </is>
      </c>
      <c r="B22" s="9">
        <f>B16/4</f>
        <v/>
      </c>
    </row>
    <row r="24">
      <c r="A24" s="3" t="inlineStr">
        <is>
          <t>Base Rate &amp; Cash Management</t>
        </is>
      </c>
    </row>
    <row r="25">
      <c r="A25" s="4" t="inlineStr">
        <is>
          <t>SOFR (Base Rate)</t>
        </is>
      </c>
      <c r="B25" s="7" t="n">
        <v>0.045</v>
      </c>
    </row>
    <row r="26">
      <c r="A26" s="4" t="inlineStr">
        <is>
          <t>Minimum Cash Balance ($mm)</t>
        </is>
      </c>
      <c r="B26" s="8" t="n">
        <v>10</v>
      </c>
    </row>
    <row r="27">
      <c r="A27" s="4" t="inlineStr">
        <is>
          <t>Excess Cash Flow Sweep %</t>
        </is>
      </c>
      <c r="B27" s="7" t="n">
        <v>0.75</v>
      </c>
    </row>
    <row r="29">
      <c r="A29" s="3" t="inlineStr">
        <is>
          <t>Term Loan A (Amortizing, Senior Secured)</t>
        </is>
      </c>
    </row>
    <row r="30">
      <c r="A30" s="4" t="inlineStr">
        <is>
          <t>TLA Leverage (x EBITDA)</t>
        </is>
      </c>
      <c r="B30" s="6" t="n">
        <v>2.5</v>
      </c>
    </row>
    <row r="31">
      <c r="A31" s="4" t="inlineStr">
        <is>
          <t>TLA Spread (over SOFR)</t>
        </is>
      </c>
      <c r="B31" s="7" t="n">
        <v>0.0325</v>
      </c>
    </row>
    <row r="32">
      <c r="A32" s="4" t="inlineStr">
        <is>
          <t>TLA Mandatory Amort. (%/yr of orig.)</t>
        </is>
      </c>
      <c r="B32" s="7" t="n">
        <v>0.075</v>
      </c>
    </row>
    <row r="34">
      <c r="A34" s="3" t="inlineStr">
        <is>
          <t>Term Loan B (Bullet, Institutional)</t>
        </is>
      </c>
    </row>
    <row r="35">
      <c r="A35" s="4" t="inlineStr">
        <is>
          <t>TLB Leverage (x EBITDA)</t>
        </is>
      </c>
      <c r="B35" s="6" t="n">
        <v>2</v>
      </c>
    </row>
    <row r="36">
      <c r="A36" s="4" t="inlineStr">
        <is>
          <t>TLB Spread (over SOFR)</t>
        </is>
      </c>
      <c r="B36" s="7" t="n">
        <v>0.0425</v>
      </c>
    </row>
    <row r="37">
      <c r="A37" s="4" t="inlineStr">
        <is>
          <t>TLB Mandatory Amort. (%/yr of orig.)</t>
        </is>
      </c>
      <c r="B37" s="7" t="n">
        <v>0.01</v>
      </c>
    </row>
    <row r="39">
      <c r="A39" s="3" t="inlineStr">
        <is>
          <t>Revolving Credit Facility (RCF)</t>
        </is>
      </c>
    </row>
    <row r="40">
      <c r="A40" s="4" t="inlineStr">
        <is>
          <t>Revolver Commitment ($mm)</t>
        </is>
      </c>
      <c r="B40" s="8" t="n">
        <v>75</v>
      </c>
    </row>
    <row r="41">
      <c r="A41" s="4" t="inlineStr">
        <is>
          <t>Revolver Spread (over SOFR)</t>
        </is>
      </c>
      <c r="B41" s="7" t="n">
        <v>0.03</v>
      </c>
    </row>
    <row r="42">
      <c r="A42" s="4" t="inlineStr">
        <is>
          <t>Revolver Commitment Fee (%/yr, undrawn)</t>
        </is>
      </c>
      <c r="B42" s="7" t="n">
        <v>0.005</v>
      </c>
    </row>
    <row r="44">
      <c r="A44" s="3" t="inlineStr">
        <is>
          <t>Mezzanine / PIK Notes</t>
        </is>
      </c>
    </row>
    <row r="45">
      <c r="A45" s="4" t="inlineStr">
        <is>
          <t>Mezzanine Leverage (x EBITDA)</t>
        </is>
      </c>
      <c r="B45" s="6" t="n">
        <v>1</v>
      </c>
    </row>
    <row r="46">
      <c r="A46" s="4" t="inlineStr">
        <is>
          <t>Mezzanine Cash-Pay Rate</t>
        </is>
      </c>
      <c r="B46" s="7" t="n">
        <v>0.08</v>
      </c>
    </row>
    <row r="47">
      <c r="A47" s="4" t="inlineStr">
        <is>
          <t>Mezzanine PIK Rate</t>
        </is>
      </c>
      <c r="B47" s="7" t="n">
        <v>0.045</v>
      </c>
    </row>
    <row r="49">
      <c r="A49" s="3" t="inlineStr">
        <is>
          <t>Covenants</t>
        </is>
      </c>
    </row>
    <row r="50">
      <c r="A50" s="4" t="inlineStr">
        <is>
          <t>Max Senior Secured Leverage (Year 1, x)</t>
        </is>
      </c>
      <c r="B50" s="6" t="n">
        <v>4.5</v>
      </c>
    </row>
    <row r="51">
      <c r="A51" s="4" t="inlineStr">
        <is>
          <t>Leverage Covenant Step-down (x/yr)</t>
        </is>
      </c>
      <c r="B51" s="6" t="n">
        <v>0.25</v>
      </c>
    </row>
    <row r="52">
      <c r="A52" s="4" t="inlineStr">
        <is>
          <t>Min Interest Coverage (x)</t>
        </is>
      </c>
      <c r="B52" s="6" t="n">
        <v>2</v>
      </c>
    </row>
    <row r="54">
      <c r="A54" s="3" t="inlineStr">
        <is>
          <t>Management Equity Waterfall (Tiered Promote)</t>
        </is>
      </c>
    </row>
    <row r="55">
      <c r="A55" s="4" t="inlineStr">
        <is>
          <t>Management Rollover % (of equity at close)</t>
        </is>
      </c>
      <c r="B55" s="7" t="n">
        <v>0.1</v>
      </c>
    </row>
    <row r="56">
      <c r="A56" s="4" t="inlineStr">
        <is>
          <t>Tier 1 MOIC Threshold (x)</t>
        </is>
      </c>
      <c r="B56" s="6" t="n">
        <v>2</v>
      </c>
    </row>
    <row r="57">
      <c r="A57" s="4" t="inlineStr">
        <is>
          <t>Tier 1 Management Share of Proceeds</t>
        </is>
      </c>
      <c r="B57" s="7" t="n">
        <v>0.1</v>
      </c>
    </row>
    <row r="58">
      <c r="A58" s="4" t="inlineStr">
        <is>
          <t>Tier 2 MOIC Threshold (x)</t>
        </is>
      </c>
      <c r="B58" s="6" t="n">
        <v>3</v>
      </c>
    </row>
    <row r="59">
      <c r="A59" s="4" t="inlineStr">
        <is>
          <t>Tier 2 Management Share of Proceeds</t>
        </is>
      </c>
      <c r="B59" s="7" t="n">
        <v>0.2</v>
      </c>
    </row>
    <row r="60">
      <c r="A60" s="4" t="inlineStr">
        <is>
          <t>Tier 3 Management Share of Proceeds (&gt; Tier 2)</t>
        </is>
      </c>
      <c r="B60" s="7" t="n">
        <v>0.3</v>
      </c>
    </row>
  </sheetData>
  <mergeCells count="11">
    <mergeCell ref="A12:H12"/>
    <mergeCell ref="A4:H4"/>
    <mergeCell ref="A39:H39"/>
    <mergeCell ref="A29:H29"/>
    <mergeCell ref="A24:H24"/>
    <mergeCell ref="A2:H2"/>
    <mergeCell ref="A54:H54"/>
    <mergeCell ref="A49:H49"/>
    <mergeCell ref="A44:H44"/>
    <mergeCell ref="A1:H1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6" customWidth="1" min="4" max="4"/>
  </cols>
  <sheetData>
    <row r="1">
      <c r="A1" s="1" t="inlineStr">
        <is>
          <t>Sources &amp; Uses</t>
        </is>
      </c>
    </row>
    <row r="3">
      <c r="A3" s="10" t="inlineStr">
        <is>
          <t>Entry EBITDA ($mm)</t>
        </is>
      </c>
      <c r="B3" s="11">
        <f>'Assumptions'!$B$13*'Assumptions'!$B$15</f>
        <v/>
      </c>
    </row>
    <row r="5">
      <c r="A5" s="3" t="inlineStr">
        <is>
          <t>Uses</t>
        </is>
      </c>
    </row>
    <row r="6">
      <c r="A6" s="4" t="inlineStr">
        <is>
          <t>Purchase Enterprise Value</t>
        </is>
      </c>
      <c r="B6" s="12">
        <f>B3*'Assumptions'!$B$7</f>
        <v/>
      </c>
    </row>
    <row r="7">
      <c r="A7" s="4" t="inlineStr">
        <is>
          <t>Transaction Fees</t>
        </is>
      </c>
      <c r="B7" s="12">
        <f>B6*'Assumptions'!$B$9</f>
        <v/>
      </c>
    </row>
    <row r="8">
      <c r="A8" s="4" t="inlineStr">
        <is>
          <t>Financing Fees</t>
        </is>
      </c>
      <c r="B8" s="12">
        <f>B16*'Assumptions'!$B$10</f>
        <v/>
      </c>
    </row>
    <row r="9">
      <c r="A9" s="13" t="inlineStr">
        <is>
          <t>Total Uses</t>
        </is>
      </c>
      <c r="B9" s="14">
        <f>SUM(B6:B8)</f>
        <v/>
      </c>
    </row>
    <row r="11">
      <c r="A11" s="3" t="inlineStr">
        <is>
          <t>Sources</t>
        </is>
      </c>
    </row>
    <row r="12">
      <c r="A12" s="4" t="inlineStr">
        <is>
          <t>Term Loan A</t>
        </is>
      </c>
      <c r="B12" s="12">
        <f>B3*'Assumptions'!$B$30</f>
        <v/>
      </c>
    </row>
    <row r="13">
      <c r="A13" s="4" t="inlineStr">
        <is>
          <t>Term Loan B</t>
        </is>
      </c>
      <c r="B13" s="12">
        <f>B3*'Assumptions'!$B$35</f>
        <v/>
      </c>
    </row>
    <row r="14">
      <c r="A14" s="4" t="inlineStr">
        <is>
          <t>Mezzanine / PIK Notes</t>
        </is>
      </c>
      <c r="B14" s="12">
        <f>B3*'Assumptions'!$B$45</f>
        <v/>
      </c>
    </row>
    <row r="15">
      <c r="A15" s="4" t="inlineStr">
        <is>
          <t>Revolver Draw at Close</t>
        </is>
      </c>
      <c r="B15" s="12" t="n">
        <v>0</v>
      </c>
    </row>
    <row r="16">
      <c r="A16" s="4" t="inlineStr">
        <is>
          <t>Total Debt</t>
        </is>
      </c>
      <c r="B16" s="12">
        <f>SUM(B12:B15)</f>
        <v/>
      </c>
    </row>
    <row r="17">
      <c r="A17" s="4" t="inlineStr">
        <is>
          <t>Management Rollover Equity</t>
        </is>
      </c>
      <c r="B17" s="12">
        <f>(B9-B16)*'Assumptions'!$B$55</f>
        <v/>
      </c>
    </row>
    <row r="18">
      <c r="A18" s="10" t="inlineStr">
        <is>
          <t>Sponsor Equity (plug)</t>
        </is>
      </c>
      <c r="B18" s="11">
        <f>B9-B16-B17</f>
        <v/>
      </c>
    </row>
    <row r="19">
      <c r="A19" s="13" t="inlineStr">
        <is>
          <t>Total Sources</t>
        </is>
      </c>
      <c r="B19" s="14">
        <f>B16+B17+B18</f>
        <v/>
      </c>
    </row>
    <row r="20">
      <c r="A20" s="4" t="inlineStr">
        <is>
          <t>Check (Sources - Uses)</t>
        </is>
      </c>
      <c r="B20" s="12">
        <f>B19-B9</f>
        <v/>
      </c>
    </row>
    <row r="22">
      <c r="A22" s="4" t="inlineStr">
        <is>
          <t>Revolver Commitment ($mm, undrawn facility size)</t>
        </is>
      </c>
      <c r="B22" s="12">
        <f>'Assumptions'!$B$40</f>
        <v/>
      </c>
    </row>
    <row r="23">
      <c r="A23" s="4" t="inlineStr">
        <is>
          <t>Opening Senior Secured Leverage (TLA+TLB / EBITDA)</t>
        </is>
      </c>
      <c r="B23" s="15">
        <f>(B12+B13)/B3</f>
        <v/>
      </c>
    </row>
    <row r="24">
      <c r="A24" s="4" t="inlineStr">
        <is>
          <t>Opening Total Leverage (incl. Mezz / EBITDA)</t>
        </is>
      </c>
      <c r="B24" s="15">
        <f>B16/B3</f>
        <v/>
      </c>
    </row>
  </sheetData>
  <mergeCells count="3">
    <mergeCell ref="A11:H11"/>
    <mergeCell ref="A5:H5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4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1" t="inlineStr">
        <is>
          <t>Operating Model</t>
        </is>
      </c>
    </row>
    <row r="3">
      <c r="A3" s="10" t="inlineStr">
        <is>
          <t>Period</t>
        </is>
      </c>
      <c r="B3" s="16" t="inlineStr">
        <is>
          <t>Close</t>
        </is>
      </c>
      <c r="C3" s="16" t="inlineStr">
        <is>
          <t>Y1Q1</t>
        </is>
      </c>
      <c r="D3" s="16" t="inlineStr">
        <is>
          <t>Y1Q2</t>
        </is>
      </c>
      <c r="E3" s="16" t="inlineStr">
        <is>
          <t>Y1Q3</t>
        </is>
      </c>
      <c r="F3" s="16" t="inlineStr">
        <is>
          <t>Y1Q4</t>
        </is>
      </c>
      <c r="G3" s="16" t="inlineStr">
        <is>
          <t>Y2Q1</t>
        </is>
      </c>
      <c r="H3" s="16" t="inlineStr">
        <is>
          <t>Y2Q2</t>
        </is>
      </c>
      <c r="I3" s="16" t="inlineStr">
        <is>
          <t>Y2Q3</t>
        </is>
      </c>
      <c r="J3" s="16" t="inlineStr">
        <is>
          <t>Y2Q4</t>
        </is>
      </c>
      <c r="K3" s="16" t="inlineStr">
        <is>
          <t>Y3Q1</t>
        </is>
      </c>
      <c r="L3" s="16" t="inlineStr">
        <is>
          <t>Y3Q2</t>
        </is>
      </c>
      <c r="M3" s="16" t="inlineStr">
        <is>
          <t>Y3Q3</t>
        </is>
      </c>
      <c r="N3" s="16" t="inlineStr">
        <is>
          <t>Y3Q4</t>
        </is>
      </c>
      <c r="O3" s="16" t="inlineStr">
        <is>
          <t>Y4Q1</t>
        </is>
      </c>
      <c r="P3" s="16" t="inlineStr">
        <is>
          <t>Y4Q2</t>
        </is>
      </c>
      <c r="Q3" s="16" t="inlineStr">
        <is>
          <t>Y4Q3</t>
        </is>
      </c>
      <c r="R3" s="16" t="inlineStr">
        <is>
          <t>Y4Q4</t>
        </is>
      </c>
      <c r="S3" s="16" t="inlineStr">
        <is>
          <t>Y5Q1</t>
        </is>
      </c>
      <c r="T3" s="16" t="inlineStr">
        <is>
          <t>Y5Q2</t>
        </is>
      </c>
      <c r="U3" s="16" t="inlineStr">
        <is>
          <t>Y5Q3</t>
        </is>
      </c>
      <c r="V3" s="16" t="inlineStr">
        <is>
          <t>Y5Q4</t>
        </is>
      </c>
    </row>
    <row r="4">
      <c r="A4" s="4" t="inlineStr">
        <is>
          <t>Year</t>
        </is>
      </c>
      <c r="B4" s="17" t="n">
        <v>0</v>
      </c>
      <c r="C4" s="17" t="n">
        <v>1</v>
      </c>
      <c r="D4" s="17" t="n">
        <v>1</v>
      </c>
      <c r="E4" s="17" t="n">
        <v>1</v>
      </c>
      <c r="F4" s="17" t="n">
        <v>1</v>
      </c>
      <c r="G4" s="17" t="n">
        <v>2</v>
      </c>
      <c r="H4" s="17" t="n">
        <v>2</v>
      </c>
      <c r="I4" s="17" t="n">
        <v>2</v>
      </c>
      <c r="J4" s="17" t="n">
        <v>2</v>
      </c>
      <c r="K4" s="17" t="n">
        <v>3</v>
      </c>
      <c r="L4" s="17" t="n">
        <v>3</v>
      </c>
      <c r="M4" s="17" t="n">
        <v>3</v>
      </c>
      <c r="N4" s="17" t="n">
        <v>3</v>
      </c>
      <c r="O4" s="17" t="n">
        <v>4</v>
      </c>
      <c r="P4" s="17" t="n">
        <v>4</v>
      </c>
      <c r="Q4" s="17" t="n">
        <v>4</v>
      </c>
      <c r="R4" s="17" t="n">
        <v>4</v>
      </c>
      <c r="S4" s="17" t="n">
        <v>5</v>
      </c>
      <c r="T4" s="17" t="n">
        <v>5</v>
      </c>
      <c r="U4" s="17" t="n">
        <v>5</v>
      </c>
      <c r="V4" s="17" t="n">
        <v>5</v>
      </c>
    </row>
    <row r="5">
      <c r="A5" s="10" t="inlineStr">
        <is>
          <t>Revenue</t>
        </is>
      </c>
      <c r="B5" s="11">
        <f>'Assumptions'!$B$13/4</f>
        <v/>
      </c>
      <c r="C5" s="11">
        <f>B5*(1+'Assumptions'!$B$21)</f>
        <v/>
      </c>
      <c r="D5" s="11">
        <f>C5*(1+'Assumptions'!$B$21)</f>
        <v/>
      </c>
      <c r="E5" s="11">
        <f>D5*(1+'Assumptions'!$B$21)</f>
        <v/>
      </c>
      <c r="F5" s="11">
        <f>E5*(1+'Assumptions'!$B$21)</f>
        <v/>
      </c>
      <c r="G5" s="11">
        <f>F5*(1+'Assumptions'!$B$21)</f>
        <v/>
      </c>
      <c r="H5" s="11">
        <f>G5*(1+'Assumptions'!$B$21)</f>
        <v/>
      </c>
      <c r="I5" s="11">
        <f>H5*(1+'Assumptions'!$B$21)</f>
        <v/>
      </c>
      <c r="J5" s="11">
        <f>I5*(1+'Assumptions'!$B$21)</f>
        <v/>
      </c>
      <c r="K5" s="11">
        <f>J5*(1+'Assumptions'!$B$21)</f>
        <v/>
      </c>
      <c r="L5" s="11">
        <f>K5*(1+'Assumptions'!$B$21)</f>
        <v/>
      </c>
      <c r="M5" s="11">
        <f>L5*(1+'Assumptions'!$B$21)</f>
        <v/>
      </c>
      <c r="N5" s="11">
        <f>M5*(1+'Assumptions'!$B$21)</f>
        <v/>
      </c>
      <c r="O5" s="11">
        <f>N5*(1+'Assumptions'!$B$21)</f>
        <v/>
      </c>
      <c r="P5" s="11">
        <f>O5*(1+'Assumptions'!$B$21)</f>
        <v/>
      </c>
      <c r="Q5" s="11">
        <f>P5*(1+'Assumptions'!$B$21)</f>
        <v/>
      </c>
      <c r="R5" s="11">
        <f>Q5*(1+'Assumptions'!$B$21)</f>
        <v/>
      </c>
      <c r="S5" s="11">
        <f>R5*(1+'Assumptions'!$B$21)</f>
        <v/>
      </c>
      <c r="T5" s="11">
        <f>S5*(1+'Assumptions'!$B$21)</f>
        <v/>
      </c>
      <c r="U5" s="11">
        <f>T5*(1+'Assumptions'!$B$21)</f>
        <v/>
      </c>
      <c r="V5" s="11">
        <f>U5*(1+'Assumptions'!$B$21)</f>
        <v/>
      </c>
    </row>
    <row r="6">
      <c r="A6" s="4" t="inlineStr">
        <is>
          <t xml:space="preserve">  % growth (QoQ)</t>
        </is>
      </c>
      <c r="B6" s="18" t="inlineStr"/>
      <c r="C6" s="18">
        <f>C5/B5-1</f>
        <v/>
      </c>
      <c r="D6" s="18">
        <f>D5/C5-1</f>
        <v/>
      </c>
      <c r="E6" s="18">
        <f>E5/D5-1</f>
        <v/>
      </c>
      <c r="F6" s="18">
        <f>F5/E5-1</f>
        <v/>
      </c>
      <c r="G6" s="18">
        <f>G5/F5-1</f>
        <v/>
      </c>
      <c r="H6" s="18">
        <f>H5/G5-1</f>
        <v/>
      </c>
      <c r="I6" s="18">
        <f>I5/H5-1</f>
        <v/>
      </c>
      <c r="J6" s="18">
        <f>J5/I5-1</f>
        <v/>
      </c>
      <c r="K6" s="18">
        <f>K5/J5-1</f>
        <v/>
      </c>
      <c r="L6" s="18">
        <f>L5/K5-1</f>
        <v/>
      </c>
      <c r="M6" s="18">
        <f>M5/L5-1</f>
        <v/>
      </c>
      <c r="N6" s="18">
        <f>N5/M5-1</f>
        <v/>
      </c>
      <c r="O6" s="18">
        <f>O5/N5-1</f>
        <v/>
      </c>
      <c r="P6" s="18">
        <f>P5/O5-1</f>
        <v/>
      </c>
      <c r="Q6" s="18">
        <f>Q5/P5-1</f>
        <v/>
      </c>
      <c r="R6" s="18">
        <f>R5/Q5-1</f>
        <v/>
      </c>
      <c r="S6" s="18">
        <f>S5/R5-1</f>
        <v/>
      </c>
      <c r="T6" s="18">
        <f>T5/S5-1</f>
        <v/>
      </c>
      <c r="U6" s="18">
        <f>U5/T5-1</f>
        <v/>
      </c>
      <c r="V6" s="18">
        <f>V5/U5-1</f>
        <v/>
      </c>
    </row>
    <row r="7">
      <c r="A7" s="4" t="inlineStr">
        <is>
          <t>EBITDA Margin</t>
        </is>
      </c>
      <c r="B7" s="18">
        <f>'Assumptions'!$B$15</f>
        <v/>
      </c>
      <c r="C7" s="18">
        <f>B7+'Assumptions'!$B$22</f>
        <v/>
      </c>
      <c r="D7" s="18">
        <f>C7+'Assumptions'!$B$22</f>
        <v/>
      </c>
      <c r="E7" s="18">
        <f>D7+'Assumptions'!$B$22</f>
        <v/>
      </c>
      <c r="F7" s="18">
        <f>E7+'Assumptions'!$B$22</f>
        <v/>
      </c>
      <c r="G7" s="18">
        <f>F7+'Assumptions'!$B$22</f>
        <v/>
      </c>
      <c r="H7" s="18">
        <f>G7+'Assumptions'!$B$22</f>
        <v/>
      </c>
      <c r="I7" s="18">
        <f>H7+'Assumptions'!$B$22</f>
        <v/>
      </c>
      <c r="J7" s="18">
        <f>I7+'Assumptions'!$B$22</f>
        <v/>
      </c>
      <c r="K7" s="18">
        <f>J7+'Assumptions'!$B$22</f>
        <v/>
      </c>
      <c r="L7" s="18">
        <f>K7+'Assumptions'!$B$22</f>
        <v/>
      </c>
      <c r="M7" s="18">
        <f>L7+'Assumptions'!$B$22</f>
        <v/>
      </c>
      <c r="N7" s="18">
        <f>M7+'Assumptions'!$B$22</f>
        <v/>
      </c>
      <c r="O7" s="18">
        <f>N7+'Assumptions'!$B$22</f>
        <v/>
      </c>
      <c r="P7" s="18">
        <f>O7+'Assumptions'!$B$22</f>
        <v/>
      </c>
      <c r="Q7" s="18">
        <f>P7+'Assumptions'!$B$22</f>
        <v/>
      </c>
      <c r="R7" s="18">
        <f>Q7+'Assumptions'!$B$22</f>
        <v/>
      </c>
      <c r="S7" s="18">
        <f>R7+'Assumptions'!$B$22</f>
        <v/>
      </c>
      <c r="T7" s="18">
        <f>S7+'Assumptions'!$B$22</f>
        <v/>
      </c>
      <c r="U7" s="18">
        <f>T7+'Assumptions'!$B$22</f>
        <v/>
      </c>
      <c r="V7" s="18">
        <f>U7+'Assumptions'!$B$22</f>
        <v/>
      </c>
    </row>
    <row r="8">
      <c r="A8" s="10" t="inlineStr">
        <is>
          <t>EBITDA</t>
        </is>
      </c>
      <c r="B8" s="11">
        <f>B5*B7</f>
        <v/>
      </c>
      <c r="C8" s="11">
        <f>C5*C7</f>
        <v/>
      </c>
      <c r="D8" s="11">
        <f>D5*D7</f>
        <v/>
      </c>
      <c r="E8" s="11">
        <f>E5*E7</f>
        <v/>
      </c>
      <c r="F8" s="11">
        <f>F5*F7</f>
        <v/>
      </c>
      <c r="G8" s="11">
        <f>G5*G7</f>
        <v/>
      </c>
      <c r="H8" s="11">
        <f>H5*H7</f>
        <v/>
      </c>
      <c r="I8" s="11">
        <f>I5*I7</f>
        <v/>
      </c>
      <c r="J8" s="11">
        <f>J5*J7</f>
        <v/>
      </c>
      <c r="K8" s="11">
        <f>K5*K7</f>
        <v/>
      </c>
      <c r="L8" s="11">
        <f>L5*L7</f>
        <v/>
      </c>
      <c r="M8" s="11">
        <f>M5*M7</f>
        <v/>
      </c>
      <c r="N8" s="11">
        <f>N5*N7</f>
        <v/>
      </c>
      <c r="O8" s="11">
        <f>O5*O7</f>
        <v/>
      </c>
      <c r="P8" s="11">
        <f>P5*P7</f>
        <v/>
      </c>
      <c r="Q8" s="11">
        <f>Q5*Q7</f>
        <v/>
      </c>
      <c r="R8" s="11">
        <f>R5*R7</f>
        <v/>
      </c>
      <c r="S8" s="11">
        <f>S5*S7</f>
        <v/>
      </c>
      <c r="T8" s="11">
        <f>T5*T7</f>
        <v/>
      </c>
      <c r="U8" s="11">
        <f>U5*U7</f>
        <v/>
      </c>
      <c r="V8" s="11">
        <f>V5*V7</f>
        <v/>
      </c>
    </row>
    <row r="9">
      <c r="A9" s="4" t="inlineStr">
        <is>
          <t>Less: D&amp;A</t>
        </is>
      </c>
      <c r="B9" s="12">
        <f>-B5*'Assumptions'!$B$17</f>
        <v/>
      </c>
      <c r="C9" s="12">
        <f>-C5*'Assumptions'!$B$17</f>
        <v/>
      </c>
      <c r="D9" s="12">
        <f>-D5*'Assumptions'!$B$17</f>
        <v/>
      </c>
      <c r="E9" s="12">
        <f>-E5*'Assumptions'!$B$17</f>
        <v/>
      </c>
      <c r="F9" s="12">
        <f>-F5*'Assumptions'!$B$17</f>
        <v/>
      </c>
      <c r="G9" s="12">
        <f>-G5*'Assumptions'!$B$17</f>
        <v/>
      </c>
      <c r="H9" s="12">
        <f>-H5*'Assumptions'!$B$17</f>
        <v/>
      </c>
      <c r="I9" s="12">
        <f>-I5*'Assumptions'!$B$17</f>
        <v/>
      </c>
      <c r="J9" s="12">
        <f>-J5*'Assumptions'!$B$17</f>
        <v/>
      </c>
      <c r="K9" s="12">
        <f>-K5*'Assumptions'!$B$17</f>
        <v/>
      </c>
      <c r="L9" s="12">
        <f>-L5*'Assumptions'!$B$17</f>
        <v/>
      </c>
      <c r="M9" s="12">
        <f>-M5*'Assumptions'!$B$17</f>
        <v/>
      </c>
      <c r="N9" s="12">
        <f>-N5*'Assumptions'!$B$17</f>
        <v/>
      </c>
      <c r="O9" s="12">
        <f>-O5*'Assumptions'!$B$17</f>
        <v/>
      </c>
      <c r="P9" s="12">
        <f>-P5*'Assumptions'!$B$17</f>
        <v/>
      </c>
      <c r="Q9" s="12">
        <f>-Q5*'Assumptions'!$B$17</f>
        <v/>
      </c>
      <c r="R9" s="12">
        <f>-R5*'Assumptions'!$B$17</f>
        <v/>
      </c>
      <c r="S9" s="12">
        <f>-S5*'Assumptions'!$B$17</f>
        <v/>
      </c>
      <c r="T9" s="12">
        <f>-T5*'Assumptions'!$B$17</f>
        <v/>
      </c>
      <c r="U9" s="12">
        <f>-U5*'Assumptions'!$B$17</f>
        <v/>
      </c>
      <c r="V9" s="12">
        <f>-V5*'Assumptions'!$B$17</f>
        <v/>
      </c>
    </row>
    <row r="10">
      <c r="A10" s="4" t="inlineStr">
        <is>
          <t>EBIT</t>
        </is>
      </c>
      <c r="B10" s="12">
        <f>B8+B9</f>
        <v/>
      </c>
      <c r="C10" s="12">
        <f>C8+C9</f>
        <v/>
      </c>
      <c r="D10" s="12">
        <f>D8+D9</f>
        <v/>
      </c>
      <c r="E10" s="12">
        <f>E8+E9</f>
        <v/>
      </c>
      <c r="F10" s="12">
        <f>F8+F9</f>
        <v/>
      </c>
      <c r="G10" s="12">
        <f>G8+G9</f>
        <v/>
      </c>
      <c r="H10" s="12">
        <f>H8+H9</f>
        <v/>
      </c>
      <c r="I10" s="12">
        <f>I8+I9</f>
        <v/>
      </c>
      <c r="J10" s="12">
        <f>J8+J9</f>
        <v/>
      </c>
      <c r="K10" s="12">
        <f>K8+K9</f>
        <v/>
      </c>
      <c r="L10" s="12">
        <f>L8+L9</f>
        <v/>
      </c>
      <c r="M10" s="12">
        <f>M8+M9</f>
        <v/>
      </c>
      <c r="N10" s="12">
        <f>N8+N9</f>
        <v/>
      </c>
      <c r="O10" s="12">
        <f>O8+O9</f>
        <v/>
      </c>
      <c r="P10" s="12">
        <f>P8+P9</f>
        <v/>
      </c>
      <c r="Q10" s="12">
        <f>Q8+Q9</f>
        <v/>
      </c>
      <c r="R10" s="12">
        <f>R8+R9</f>
        <v/>
      </c>
      <c r="S10" s="12">
        <f>S8+S9</f>
        <v/>
      </c>
      <c r="T10" s="12">
        <f>T8+T9</f>
        <v/>
      </c>
      <c r="U10" s="12">
        <f>U8+U9</f>
        <v/>
      </c>
      <c r="V10" s="12">
        <f>V8+V9</f>
        <v/>
      </c>
    </row>
    <row r="11">
      <c r="A11" s="4" t="inlineStr">
        <is>
          <t>Less: Interest Expense, net (incl. PIK)</t>
        </is>
      </c>
      <c r="B11" s="12" t="n">
        <v>0</v>
      </c>
      <c r="C11" s="12">
        <f>-'Debt Schedule'!C16</f>
        <v/>
      </c>
      <c r="D11" s="12">
        <f>-'Debt Schedule'!D16</f>
        <v/>
      </c>
      <c r="E11" s="12">
        <f>-'Debt Schedule'!E16</f>
        <v/>
      </c>
      <c r="F11" s="12">
        <f>-'Debt Schedule'!F16</f>
        <v/>
      </c>
      <c r="G11" s="12">
        <f>-'Debt Schedule'!G16</f>
        <v/>
      </c>
      <c r="H11" s="12">
        <f>-'Debt Schedule'!H16</f>
        <v/>
      </c>
      <c r="I11" s="12">
        <f>-'Debt Schedule'!I16</f>
        <v/>
      </c>
      <c r="J11" s="12">
        <f>-'Debt Schedule'!J16</f>
        <v/>
      </c>
      <c r="K11" s="12">
        <f>-'Debt Schedule'!K16</f>
        <v/>
      </c>
      <c r="L11" s="12">
        <f>-'Debt Schedule'!L16</f>
        <v/>
      </c>
      <c r="M11" s="12">
        <f>-'Debt Schedule'!M16</f>
        <v/>
      </c>
      <c r="N11" s="12">
        <f>-'Debt Schedule'!N16</f>
        <v/>
      </c>
      <c r="O11" s="12">
        <f>-'Debt Schedule'!O16</f>
        <v/>
      </c>
      <c r="P11" s="12">
        <f>-'Debt Schedule'!P16</f>
        <v/>
      </c>
      <c r="Q11" s="12">
        <f>-'Debt Schedule'!Q16</f>
        <v/>
      </c>
      <c r="R11" s="12">
        <f>-'Debt Schedule'!R16</f>
        <v/>
      </c>
      <c r="S11" s="12">
        <f>-'Debt Schedule'!S16</f>
        <v/>
      </c>
      <c r="T11" s="12">
        <f>-'Debt Schedule'!T16</f>
        <v/>
      </c>
      <c r="U11" s="12">
        <f>-'Debt Schedule'!U16</f>
        <v/>
      </c>
      <c r="V11" s="12">
        <f>-'Debt Schedule'!V16</f>
        <v/>
      </c>
    </row>
    <row r="12">
      <c r="A12" s="4" t="inlineStr">
        <is>
          <t>EBT</t>
        </is>
      </c>
      <c r="B12" s="12">
        <f>B10+B11</f>
        <v/>
      </c>
      <c r="C12" s="12">
        <f>C10+C11</f>
        <v/>
      </c>
      <c r="D12" s="12">
        <f>D10+D11</f>
        <v/>
      </c>
      <c r="E12" s="12">
        <f>E10+E11</f>
        <v/>
      </c>
      <c r="F12" s="12">
        <f>F10+F11</f>
        <v/>
      </c>
      <c r="G12" s="12">
        <f>G10+G11</f>
        <v/>
      </c>
      <c r="H12" s="12">
        <f>H10+H11</f>
        <v/>
      </c>
      <c r="I12" s="12">
        <f>I10+I11</f>
        <v/>
      </c>
      <c r="J12" s="12">
        <f>J10+J11</f>
        <v/>
      </c>
      <c r="K12" s="12">
        <f>K10+K11</f>
        <v/>
      </c>
      <c r="L12" s="12">
        <f>L10+L11</f>
        <v/>
      </c>
      <c r="M12" s="12">
        <f>M10+M11</f>
        <v/>
      </c>
      <c r="N12" s="12">
        <f>N10+N11</f>
        <v/>
      </c>
      <c r="O12" s="12">
        <f>O10+O11</f>
        <v/>
      </c>
      <c r="P12" s="12">
        <f>P10+P11</f>
        <v/>
      </c>
      <c r="Q12" s="12">
        <f>Q10+Q11</f>
        <v/>
      </c>
      <c r="R12" s="12">
        <f>R10+R11</f>
        <v/>
      </c>
      <c r="S12" s="12">
        <f>S10+S11</f>
        <v/>
      </c>
      <c r="T12" s="12">
        <f>T10+T11</f>
        <v/>
      </c>
      <c r="U12" s="12">
        <f>U10+U11</f>
        <v/>
      </c>
      <c r="V12" s="12">
        <f>V10+V11</f>
        <v/>
      </c>
    </row>
    <row r="13">
      <c r="A13" s="4" t="inlineStr">
        <is>
          <t>Less: Cash Taxes</t>
        </is>
      </c>
      <c r="B13" s="12">
        <f>-MAX(B12,0)*'Assumptions'!$B$20</f>
        <v/>
      </c>
      <c r="C13" s="12">
        <f>-MAX(C12,0)*'Assumptions'!$B$20</f>
        <v/>
      </c>
      <c r="D13" s="12">
        <f>-MAX(D12,0)*'Assumptions'!$B$20</f>
        <v/>
      </c>
      <c r="E13" s="12">
        <f>-MAX(E12,0)*'Assumptions'!$B$20</f>
        <v/>
      </c>
      <c r="F13" s="12">
        <f>-MAX(F12,0)*'Assumptions'!$B$20</f>
        <v/>
      </c>
      <c r="G13" s="12">
        <f>-MAX(G12,0)*'Assumptions'!$B$20</f>
        <v/>
      </c>
      <c r="H13" s="12">
        <f>-MAX(H12,0)*'Assumptions'!$B$20</f>
        <v/>
      </c>
      <c r="I13" s="12">
        <f>-MAX(I12,0)*'Assumptions'!$B$20</f>
        <v/>
      </c>
      <c r="J13" s="12">
        <f>-MAX(J12,0)*'Assumptions'!$B$20</f>
        <v/>
      </c>
      <c r="K13" s="12">
        <f>-MAX(K12,0)*'Assumptions'!$B$20</f>
        <v/>
      </c>
      <c r="L13" s="12">
        <f>-MAX(L12,0)*'Assumptions'!$B$20</f>
        <v/>
      </c>
      <c r="M13" s="12">
        <f>-MAX(M12,0)*'Assumptions'!$B$20</f>
        <v/>
      </c>
      <c r="N13" s="12">
        <f>-MAX(N12,0)*'Assumptions'!$B$20</f>
        <v/>
      </c>
      <c r="O13" s="12">
        <f>-MAX(O12,0)*'Assumptions'!$B$20</f>
        <v/>
      </c>
      <c r="P13" s="12">
        <f>-MAX(P12,0)*'Assumptions'!$B$20</f>
        <v/>
      </c>
      <c r="Q13" s="12">
        <f>-MAX(Q12,0)*'Assumptions'!$B$20</f>
        <v/>
      </c>
      <c r="R13" s="12">
        <f>-MAX(R12,0)*'Assumptions'!$B$20</f>
        <v/>
      </c>
      <c r="S13" s="12">
        <f>-MAX(S12,0)*'Assumptions'!$B$20</f>
        <v/>
      </c>
      <c r="T13" s="12">
        <f>-MAX(T12,0)*'Assumptions'!$B$20</f>
        <v/>
      </c>
      <c r="U13" s="12">
        <f>-MAX(U12,0)*'Assumptions'!$B$20</f>
        <v/>
      </c>
      <c r="V13" s="12">
        <f>-MAX(V12,0)*'Assumptions'!$B$20</f>
        <v/>
      </c>
    </row>
    <row r="14">
      <c r="A14" s="10" t="inlineStr">
        <is>
          <t>Net Income</t>
        </is>
      </c>
      <c r="B14" s="11">
        <f>B12+B13</f>
        <v/>
      </c>
      <c r="C14" s="11">
        <f>C12+C13</f>
        <v/>
      </c>
      <c r="D14" s="11">
        <f>D12+D13</f>
        <v/>
      </c>
      <c r="E14" s="11">
        <f>E12+E13</f>
        <v/>
      </c>
      <c r="F14" s="11">
        <f>F12+F13</f>
        <v/>
      </c>
      <c r="G14" s="11">
        <f>G12+G13</f>
        <v/>
      </c>
      <c r="H14" s="11">
        <f>H12+H13</f>
        <v/>
      </c>
      <c r="I14" s="11">
        <f>I12+I13</f>
        <v/>
      </c>
      <c r="J14" s="11">
        <f>J12+J13</f>
        <v/>
      </c>
      <c r="K14" s="11">
        <f>K12+K13</f>
        <v/>
      </c>
      <c r="L14" s="11">
        <f>L12+L13</f>
        <v/>
      </c>
      <c r="M14" s="11">
        <f>M12+M13</f>
        <v/>
      </c>
      <c r="N14" s="11">
        <f>N12+N13</f>
        <v/>
      </c>
      <c r="O14" s="11">
        <f>O12+O13</f>
        <v/>
      </c>
      <c r="P14" s="11">
        <f>P12+P13</f>
        <v/>
      </c>
      <c r="Q14" s="11">
        <f>Q12+Q13</f>
        <v/>
      </c>
      <c r="R14" s="11">
        <f>R12+R13</f>
        <v/>
      </c>
      <c r="S14" s="11">
        <f>S12+S13</f>
        <v/>
      </c>
      <c r="T14" s="11">
        <f>T12+T13</f>
        <v/>
      </c>
      <c r="U14" s="11">
        <f>U12+U13</f>
        <v/>
      </c>
      <c r="V14" s="11">
        <f>V12+V13</f>
        <v/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1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1" t="inlineStr">
        <is>
          <t>Free Cash Flow</t>
        </is>
      </c>
    </row>
    <row r="3">
      <c r="A3" s="10" t="inlineStr">
        <is>
          <t>Period</t>
        </is>
      </c>
      <c r="B3" s="19">
        <f>'Operating Model'!B3</f>
        <v/>
      </c>
      <c r="C3" s="19">
        <f>'Operating Model'!C3</f>
        <v/>
      </c>
      <c r="D3" s="19">
        <f>'Operating Model'!D3</f>
        <v/>
      </c>
      <c r="E3" s="19">
        <f>'Operating Model'!E3</f>
        <v/>
      </c>
      <c r="F3" s="19">
        <f>'Operating Model'!F3</f>
        <v/>
      </c>
      <c r="G3" s="19">
        <f>'Operating Model'!G3</f>
        <v/>
      </c>
      <c r="H3" s="19">
        <f>'Operating Model'!H3</f>
        <v/>
      </c>
      <c r="I3" s="19">
        <f>'Operating Model'!I3</f>
        <v/>
      </c>
      <c r="J3" s="19">
        <f>'Operating Model'!J3</f>
        <v/>
      </c>
      <c r="K3" s="19">
        <f>'Operating Model'!K3</f>
        <v/>
      </c>
      <c r="L3" s="19">
        <f>'Operating Model'!L3</f>
        <v/>
      </c>
      <c r="M3" s="19">
        <f>'Operating Model'!M3</f>
        <v/>
      </c>
      <c r="N3" s="19">
        <f>'Operating Model'!N3</f>
        <v/>
      </c>
      <c r="O3" s="19">
        <f>'Operating Model'!O3</f>
        <v/>
      </c>
      <c r="P3" s="19">
        <f>'Operating Model'!P3</f>
        <v/>
      </c>
      <c r="Q3" s="19">
        <f>'Operating Model'!Q3</f>
        <v/>
      </c>
      <c r="R3" s="19">
        <f>'Operating Model'!R3</f>
        <v/>
      </c>
      <c r="S3" s="19">
        <f>'Operating Model'!S3</f>
        <v/>
      </c>
      <c r="T3" s="19">
        <f>'Operating Model'!T3</f>
        <v/>
      </c>
      <c r="U3" s="19">
        <f>'Operating Model'!U3</f>
        <v/>
      </c>
      <c r="V3" s="19">
        <f>'Operating Model'!V3</f>
        <v/>
      </c>
    </row>
    <row r="4">
      <c r="A4" s="10" t="inlineStr">
        <is>
          <t>Year</t>
        </is>
      </c>
      <c r="B4" s="20">
        <f>'Operating Model'!B4</f>
        <v/>
      </c>
      <c r="C4" s="20">
        <f>'Operating Model'!C4</f>
        <v/>
      </c>
      <c r="D4" s="20">
        <f>'Operating Model'!D4</f>
        <v/>
      </c>
      <c r="E4" s="20">
        <f>'Operating Model'!E4</f>
        <v/>
      </c>
      <c r="F4" s="20">
        <f>'Operating Model'!F4</f>
        <v/>
      </c>
      <c r="G4" s="20">
        <f>'Operating Model'!G4</f>
        <v/>
      </c>
      <c r="H4" s="20">
        <f>'Operating Model'!H4</f>
        <v/>
      </c>
      <c r="I4" s="20">
        <f>'Operating Model'!I4</f>
        <v/>
      </c>
      <c r="J4" s="20">
        <f>'Operating Model'!J4</f>
        <v/>
      </c>
      <c r="K4" s="20">
        <f>'Operating Model'!K4</f>
        <v/>
      </c>
      <c r="L4" s="20">
        <f>'Operating Model'!L4</f>
        <v/>
      </c>
      <c r="M4" s="20">
        <f>'Operating Model'!M4</f>
        <v/>
      </c>
      <c r="N4" s="20">
        <f>'Operating Model'!N4</f>
        <v/>
      </c>
      <c r="O4" s="20">
        <f>'Operating Model'!O4</f>
        <v/>
      </c>
      <c r="P4" s="20">
        <f>'Operating Model'!P4</f>
        <v/>
      </c>
      <c r="Q4" s="20">
        <f>'Operating Model'!Q4</f>
        <v/>
      </c>
      <c r="R4" s="20">
        <f>'Operating Model'!R4</f>
        <v/>
      </c>
      <c r="S4" s="20">
        <f>'Operating Model'!S4</f>
        <v/>
      </c>
      <c r="T4" s="20">
        <f>'Operating Model'!T4</f>
        <v/>
      </c>
      <c r="U4" s="20">
        <f>'Operating Model'!U4</f>
        <v/>
      </c>
      <c r="V4" s="20">
        <f>'Operating Model'!V4</f>
        <v/>
      </c>
    </row>
    <row r="6">
      <c r="A6" s="4" t="inlineStr">
        <is>
          <t>Net Income</t>
        </is>
      </c>
      <c r="B6" s="12" t="n">
        <v>0</v>
      </c>
      <c r="C6" s="12">
        <f>'Operating Model'!C14</f>
        <v/>
      </c>
      <c r="D6" s="12">
        <f>'Operating Model'!D14</f>
        <v/>
      </c>
      <c r="E6" s="12">
        <f>'Operating Model'!E14</f>
        <v/>
      </c>
      <c r="F6" s="12">
        <f>'Operating Model'!F14</f>
        <v/>
      </c>
      <c r="G6" s="12">
        <f>'Operating Model'!G14</f>
        <v/>
      </c>
      <c r="H6" s="12">
        <f>'Operating Model'!H14</f>
        <v/>
      </c>
      <c r="I6" s="12">
        <f>'Operating Model'!I14</f>
        <v/>
      </c>
      <c r="J6" s="12">
        <f>'Operating Model'!J14</f>
        <v/>
      </c>
      <c r="K6" s="12">
        <f>'Operating Model'!K14</f>
        <v/>
      </c>
      <c r="L6" s="12">
        <f>'Operating Model'!L14</f>
        <v/>
      </c>
      <c r="M6" s="12">
        <f>'Operating Model'!M14</f>
        <v/>
      </c>
      <c r="N6" s="12">
        <f>'Operating Model'!N14</f>
        <v/>
      </c>
      <c r="O6" s="12">
        <f>'Operating Model'!O14</f>
        <v/>
      </c>
      <c r="P6" s="12">
        <f>'Operating Model'!P14</f>
        <v/>
      </c>
      <c r="Q6" s="12">
        <f>'Operating Model'!Q14</f>
        <v/>
      </c>
      <c r="R6" s="12">
        <f>'Operating Model'!R14</f>
        <v/>
      </c>
      <c r="S6" s="12">
        <f>'Operating Model'!S14</f>
        <v/>
      </c>
      <c r="T6" s="12">
        <f>'Operating Model'!T14</f>
        <v/>
      </c>
      <c r="U6" s="12">
        <f>'Operating Model'!U14</f>
        <v/>
      </c>
      <c r="V6" s="12">
        <f>'Operating Model'!V14</f>
        <v/>
      </c>
    </row>
    <row r="7">
      <c r="A7" s="4" t="inlineStr">
        <is>
          <t>Plus: D&amp;A</t>
        </is>
      </c>
      <c r="B7" s="12" t="n">
        <v>0</v>
      </c>
      <c r="C7" s="12">
        <f>-'Operating Model'!C9</f>
        <v/>
      </c>
      <c r="D7" s="12">
        <f>-'Operating Model'!D9</f>
        <v/>
      </c>
      <c r="E7" s="12">
        <f>-'Operating Model'!E9</f>
        <v/>
      </c>
      <c r="F7" s="12">
        <f>-'Operating Model'!F9</f>
        <v/>
      </c>
      <c r="G7" s="12">
        <f>-'Operating Model'!G9</f>
        <v/>
      </c>
      <c r="H7" s="12">
        <f>-'Operating Model'!H9</f>
        <v/>
      </c>
      <c r="I7" s="12">
        <f>-'Operating Model'!I9</f>
        <v/>
      </c>
      <c r="J7" s="12">
        <f>-'Operating Model'!J9</f>
        <v/>
      </c>
      <c r="K7" s="12">
        <f>-'Operating Model'!K9</f>
        <v/>
      </c>
      <c r="L7" s="12">
        <f>-'Operating Model'!L9</f>
        <v/>
      </c>
      <c r="M7" s="12">
        <f>-'Operating Model'!M9</f>
        <v/>
      </c>
      <c r="N7" s="12">
        <f>-'Operating Model'!N9</f>
        <v/>
      </c>
      <c r="O7" s="12">
        <f>-'Operating Model'!O9</f>
        <v/>
      </c>
      <c r="P7" s="12">
        <f>-'Operating Model'!P9</f>
        <v/>
      </c>
      <c r="Q7" s="12">
        <f>-'Operating Model'!Q9</f>
        <v/>
      </c>
      <c r="R7" s="12">
        <f>-'Operating Model'!R9</f>
        <v/>
      </c>
      <c r="S7" s="12">
        <f>-'Operating Model'!S9</f>
        <v/>
      </c>
      <c r="T7" s="12">
        <f>-'Operating Model'!T9</f>
        <v/>
      </c>
      <c r="U7" s="12">
        <f>-'Operating Model'!U9</f>
        <v/>
      </c>
      <c r="V7" s="12">
        <f>-'Operating Model'!V9</f>
        <v/>
      </c>
    </row>
    <row r="8">
      <c r="A8" s="4" t="inlineStr">
        <is>
          <t>Less: Capex</t>
        </is>
      </c>
      <c r="B8" s="12" t="n">
        <v>0</v>
      </c>
      <c r="C8" s="12">
        <f>-'Operating Model'!C5*'Assumptions'!$B$18</f>
        <v/>
      </c>
      <c r="D8" s="12">
        <f>-'Operating Model'!D5*'Assumptions'!$B$18</f>
        <v/>
      </c>
      <c r="E8" s="12">
        <f>-'Operating Model'!E5*'Assumptions'!$B$18</f>
        <v/>
      </c>
      <c r="F8" s="12">
        <f>-'Operating Model'!F5*'Assumptions'!$B$18</f>
        <v/>
      </c>
      <c r="G8" s="12">
        <f>-'Operating Model'!G5*'Assumptions'!$B$18</f>
        <v/>
      </c>
      <c r="H8" s="12">
        <f>-'Operating Model'!H5*'Assumptions'!$B$18</f>
        <v/>
      </c>
      <c r="I8" s="12">
        <f>-'Operating Model'!I5*'Assumptions'!$B$18</f>
        <v/>
      </c>
      <c r="J8" s="12">
        <f>-'Operating Model'!J5*'Assumptions'!$B$18</f>
        <v/>
      </c>
      <c r="K8" s="12">
        <f>-'Operating Model'!K5*'Assumptions'!$B$18</f>
        <v/>
      </c>
      <c r="L8" s="12">
        <f>-'Operating Model'!L5*'Assumptions'!$B$18</f>
        <v/>
      </c>
      <c r="M8" s="12">
        <f>-'Operating Model'!M5*'Assumptions'!$B$18</f>
        <v/>
      </c>
      <c r="N8" s="12">
        <f>-'Operating Model'!N5*'Assumptions'!$B$18</f>
        <v/>
      </c>
      <c r="O8" s="12">
        <f>-'Operating Model'!O5*'Assumptions'!$B$18</f>
        <v/>
      </c>
      <c r="P8" s="12">
        <f>-'Operating Model'!P5*'Assumptions'!$B$18</f>
        <v/>
      </c>
      <c r="Q8" s="12">
        <f>-'Operating Model'!Q5*'Assumptions'!$B$18</f>
        <v/>
      </c>
      <c r="R8" s="12">
        <f>-'Operating Model'!R5*'Assumptions'!$B$18</f>
        <v/>
      </c>
      <c r="S8" s="12">
        <f>-'Operating Model'!S5*'Assumptions'!$B$18</f>
        <v/>
      </c>
      <c r="T8" s="12">
        <f>-'Operating Model'!T5*'Assumptions'!$B$18</f>
        <v/>
      </c>
      <c r="U8" s="12">
        <f>-'Operating Model'!U5*'Assumptions'!$B$18</f>
        <v/>
      </c>
      <c r="V8" s="12">
        <f>-'Operating Model'!V5*'Assumptions'!$B$18</f>
        <v/>
      </c>
    </row>
    <row r="9">
      <c r="A9" s="4" t="inlineStr">
        <is>
          <t>Less: Increase in NWC</t>
        </is>
      </c>
      <c r="B9" s="12" t="n">
        <v>0</v>
      </c>
      <c r="C9" s="12">
        <f>-('Operating Model'!C5-'Operating Model'!B5)*'Assumptions'!$B$19</f>
        <v/>
      </c>
      <c r="D9" s="12">
        <f>-('Operating Model'!D5-'Operating Model'!C5)*'Assumptions'!$B$19</f>
        <v/>
      </c>
      <c r="E9" s="12">
        <f>-('Operating Model'!E5-'Operating Model'!D5)*'Assumptions'!$B$19</f>
        <v/>
      </c>
      <c r="F9" s="12">
        <f>-('Operating Model'!F5-'Operating Model'!E5)*'Assumptions'!$B$19</f>
        <v/>
      </c>
      <c r="G9" s="12">
        <f>-('Operating Model'!G5-'Operating Model'!F5)*'Assumptions'!$B$19</f>
        <v/>
      </c>
      <c r="H9" s="12">
        <f>-('Operating Model'!H5-'Operating Model'!G5)*'Assumptions'!$B$19</f>
        <v/>
      </c>
      <c r="I9" s="12">
        <f>-('Operating Model'!I5-'Operating Model'!H5)*'Assumptions'!$B$19</f>
        <v/>
      </c>
      <c r="J9" s="12">
        <f>-('Operating Model'!J5-'Operating Model'!I5)*'Assumptions'!$B$19</f>
        <v/>
      </c>
      <c r="K9" s="12">
        <f>-('Operating Model'!K5-'Operating Model'!J5)*'Assumptions'!$B$19</f>
        <v/>
      </c>
      <c r="L9" s="12">
        <f>-('Operating Model'!L5-'Operating Model'!K5)*'Assumptions'!$B$19</f>
        <v/>
      </c>
      <c r="M9" s="12">
        <f>-('Operating Model'!M5-'Operating Model'!L5)*'Assumptions'!$B$19</f>
        <v/>
      </c>
      <c r="N9" s="12">
        <f>-('Operating Model'!N5-'Operating Model'!M5)*'Assumptions'!$B$19</f>
        <v/>
      </c>
      <c r="O9" s="12">
        <f>-('Operating Model'!O5-'Operating Model'!N5)*'Assumptions'!$B$19</f>
        <v/>
      </c>
      <c r="P9" s="12">
        <f>-('Operating Model'!P5-'Operating Model'!O5)*'Assumptions'!$B$19</f>
        <v/>
      </c>
      <c r="Q9" s="12">
        <f>-('Operating Model'!Q5-'Operating Model'!P5)*'Assumptions'!$B$19</f>
        <v/>
      </c>
      <c r="R9" s="12">
        <f>-('Operating Model'!R5-'Operating Model'!Q5)*'Assumptions'!$B$19</f>
        <v/>
      </c>
      <c r="S9" s="12">
        <f>-('Operating Model'!S5-'Operating Model'!R5)*'Assumptions'!$B$19</f>
        <v/>
      </c>
      <c r="T9" s="12">
        <f>-('Operating Model'!T5-'Operating Model'!S5)*'Assumptions'!$B$19</f>
        <v/>
      </c>
      <c r="U9" s="12">
        <f>-('Operating Model'!U5-'Operating Model'!T5)*'Assumptions'!$B$19</f>
        <v/>
      </c>
      <c r="V9" s="12">
        <f>-('Operating Model'!V5-'Operating Model'!U5)*'Assumptions'!$B$19</f>
        <v/>
      </c>
    </row>
    <row r="10">
      <c r="A10" s="4" t="inlineStr">
        <is>
          <t>Plus: PIK Interest Add-back (non-cash)</t>
        </is>
      </c>
      <c r="B10" s="12" t="n">
        <v>0</v>
      </c>
      <c r="C10" s="12">
        <f>'Debt Schedule'!C14</f>
        <v/>
      </c>
      <c r="D10" s="12">
        <f>'Debt Schedule'!D14</f>
        <v/>
      </c>
      <c r="E10" s="12">
        <f>'Debt Schedule'!E14</f>
        <v/>
      </c>
      <c r="F10" s="12">
        <f>'Debt Schedule'!F14</f>
        <v/>
      </c>
      <c r="G10" s="12">
        <f>'Debt Schedule'!G14</f>
        <v/>
      </c>
      <c r="H10" s="12">
        <f>'Debt Schedule'!H14</f>
        <v/>
      </c>
      <c r="I10" s="12">
        <f>'Debt Schedule'!I14</f>
        <v/>
      </c>
      <c r="J10" s="12">
        <f>'Debt Schedule'!J14</f>
        <v/>
      </c>
      <c r="K10" s="12">
        <f>'Debt Schedule'!K14</f>
        <v/>
      </c>
      <c r="L10" s="12">
        <f>'Debt Schedule'!L14</f>
        <v/>
      </c>
      <c r="M10" s="12">
        <f>'Debt Schedule'!M14</f>
        <v/>
      </c>
      <c r="N10" s="12">
        <f>'Debt Schedule'!N14</f>
        <v/>
      </c>
      <c r="O10" s="12">
        <f>'Debt Schedule'!O14</f>
        <v/>
      </c>
      <c r="P10" s="12">
        <f>'Debt Schedule'!P14</f>
        <v/>
      </c>
      <c r="Q10" s="12">
        <f>'Debt Schedule'!Q14</f>
        <v/>
      </c>
      <c r="R10" s="12">
        <f>'Debt Schedule'!R14</f>
        <v/>
      </c>
      <c r="S10" s="12">
        <f>'Debt Schedule'!S14</f>
        <v/>
      </c>
      <c r="T10" s="12">
        <f>'Debt Schedule'!T14</f>
        <v/>
      </c>
      <c r="U10" s="12">
        <f>'Debt Schedule'!U14</f>
        <v/>
      </c>
      <c r="V10" s="12">
        <f>'Debt Schedule'!V14</f>
        <v/>
      </c>
    </row>
    <row r="11">
      <c r="A11" s="10" t="inlineStr">
        <is>
          <t>CFADS (Cash Flow Available for Debt Service)</t>
        </is>
      </c>
      <c r="B11" s="11">
        <f>B6+B7+B8+B9+B10</f>
        <v/>
      </c>
      <c r="C11" s="11">
        <f>C6+C7+C8+C9+C10</f>
        <v/>
      </c>
      <c r="D11" s="11">
        <f>D6+D7+D8+D9+D10</f>
        <v/>
      </c>
      <c r="E11" s="11">
        <f>E6+E7+E8+E9+E10</f>
        <v/>
      </c>
      <c r="F11" s="11">
        <f>F6+F7+F8+F9+F10</f>
        <v/>
      </c>
      <c r="G11" s="11">
        <f>G6+G7+G8+G9+G10</f>
        <v/>
      </c>
      <c r="H11" s="11">
        <f>H6+H7+H8+H9+H10</f>
        <v/>
      </c>
      <c r="I11" s="11">
        <f>I6+I7+I8+I9+I10</f>
        <v/>
      </c>
      <c r="J11" s="11">
        <f>J6+J7+J8+J9+J10</f>
        <v/>
      </c>
      <c r="K11" s="11">
        <f>K6+K7+K8+K9+K10</f>
        <v/>
      </c>
      <c r="L11" s="11">
        <f>L6+L7+L8+L9+L10</f>
        <v/>
      </c>
      <c r="M11" s="11">
        <f>M6+M7+M8+M9+M10</f>
        <v/>
      </c>
      <c r="N11" s="11">
        <f>N6+N7+N8+N9+N10</f>
        <v/>
      </c>
      <c r="O11" s="11">
        <f>O6+O7+O8+O9+O10</f>
        <v/>
      </c>
      <c r="P11" s="11">
        <f>P6+P7+P8+P9+P10</f>
        <v/>
      </c>
      <c r="Q11" s="11">
        <f>Q6+Q7+Q8+Q9+Q10</f>
        <v/>
      </c>
      <c r="R11" s="11">
        <f>R6+R7+R8+R9+R10</f>
        <v/>
      </c>
      <c r="S11" s="11">
        <f>S6+S7+S8+S9+S10</f>
        <v/>
      </c>
      <c r="T11" s="11">
        <f>T6+T7+T8+T9+T10</f>
        <v/>
      </c>
      <c r="U11" s="11">
        <f>U6+U7+U8+U9+U10</f>
        <v/>
      </c>
      <c r="V11" s="11">
        <f>V6+V7+V8+V9+V10</f>
        <v/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7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1" t="inlineStr">
        <is>
          <t>Debt Schedule</t>
        </is>
      </c>
    </row>
    <row r="3">
      <c r="A3" s="10" t="inlineStr">
        <is>
          <t>Period</t>
        </is>
      </c>
      <c r="B3" s="19">
        <f>'Operating Model'!B3</f>
        <v/>
      </c>
      <c r="C3" s="19">
        <f>'Operating Model'!C3</f>
        <v/>
      </c>
      <c r="D3" s="19">
        <f>'Operating Model'!D3</f>
        <v/>
      </c>
      <c r="E3" s="19">
        <f>'Operating Model'!E3</f>
        <v/>
      </c>
      <c r="F3" s="19">
        <f>'Operating Model'!F3</f>
        <v/>
      </c>
      <c r="G3" s="19">
        <f>'Operating Model'!G3</f>
        <v/>
      </c>
      <c r="H3" s="19">
        <f>'Operating Model'!H3</f>
        <v/>
      </c>
      <c r="I3" s="19">
        <f>'Operating Model'!I3</f>
        <v/>
      </c>
      <c r="J3" s="19">
        <f>'Operating Model'!J3</f>
        <v/>
      </c>
      <c r="K3" s="19">
        <f>'Operating Model'!K3</f>
        <v/>
      </c>
      <c r="L3" s="19">
        <f>'Operating Model'!L3</f>
        <v/>
      </c>
      <c r="M3" s="19">
        <f>'Operating Model'!M3</f>
        <v/>
      </c>
      <c r="N3" s="19">
        <f>'Operating Model'!N3</f>
        <v/>
      </c>
      <c r="O3" s="19">
        <f>'Operating Model'!O3</f>
        <v/>
      </c>
      <c r="P3" s="19">
        <f>'Operating Model'!P3</f>
        <v/>
      </c>
      <c r="Q3" s="19">
        <f>'Operating Model'!Q3</f>
        <v/>
      </c>
      <c r="R3" s="19">
        <f>'Operating Model'!R3</f>
        <v/>
      </c>
      <c r="S3" s="19">
        <f>'Operating Model'!S3</f>
        <v/>
      </c>
      <c r="T3" s="19">
        <f>'Operating Model'!T3</f>
        <v/>
      </c>
      <c r="U3" s="19">
        <f>'Operating Model'!U3</f>
        <v/>
      </c>
      <c r="V3" s="19">
        <f>'Operating Model'!V3</f>
        <v/>
      </c>
    </row>
    <row r="4">
      <c r="A4" s="10" t="inlineStr">
        <is>
          <t>Year</t>
        </is>
      </c>
      <c r="B4" s="20">
        <f>'Operating Model'!B4</f>
        <v/>
      </c>
      <c r="C4" s="20">
        <f>'Operating Model'!C4</f>
        <v/>
      </c>
      <c r="D4" s="20">
        <f>'Operating Model'!D4</f>
        <v/>
      </c>
      <c r="E4" s="20">
        <f>'Operating Model'!E4</f>
        <v/>
      </c>
      <c r="F4" s="20">
        <f>'Operating Model'!F4</f>
        <v/>
      </c>
      <c r="G4" s="20">
        <f>'Operating Model'!G4</f>
        <v/>
      </c>
      <c r="H4" s="20">
        <f>'Operating Model'!H4</f>
        <v/>
      </c>
      <c r="I4" s="20">
        <f>'Operating Model'!I4</f>
        <v/>
      </c>
      <c r="J4" s="20">
        <f>'Operating Model'!J4</f>
        <v/>
      </c>
      <c r="K4" s="20">
        <f>'Operating Model'!K4</f>
        <v/>
      </c>
      <c r="L4" s="20">
        <f>'Operating Model'!L4</f>
        <v/>
      </c>
      <c r="M4" s="20">
        <f>'Operating Model'!M4</f>
        <v/>
      </c>
      <c r="N4" s="20">
        <f>'Operating Model'!N4</f>
        <v/>
      </c>
      <c r="O4" s="20">
        <f>'Operating Model'!O4</f>
        <v/>
      </c>
      <c r="P4" s="20">
        <f>'Operating Model'!P4</f>
        <v/>
      </c>
      <c r="Q4" s="20">
        <f>'Operating Model'!Q4</f>
        <v/>
      </c>
      <c r="R4" s="20">
        <f>'Operating Model'!R4</f>
        <v/>
      </c>
      <c r="S4" s="20">
        <f>'Operating Model'!S4</f>
        <v/>
      </c>
      <c r="T4" s="20">
        <f>'Operating Model'!T4</f>
        <v/>
      </c>
      <c r="U4" s="20">
        <f>'Operating Model'!U4</f>
        <v/>
      </c>
      <c r="V4" s="20">
        <f>'Operating Model'!V4</f>
        <v/>
      </c>
    </row>
    <row r="6">
      <c r="A6" s="4" t="inlineStr">
        <is>
          <t>CFADS (from FCF tab, net of P&amp;L interest via Net Income)</t>
        </is>
      </c>
      <c r="B6" s="12" t="n">
        <v>0</v>
      </c>
      <c r="C6" s="12">
        <f>'Free Cash Flow'!C11</f>
        <v/>
      </c>
      <c r="D6" s="12">
        <f>'Free Cash Flow'!D11</f>
        <v/>
      </c>
      <c r="E6" s="12">
        <f>'Free Cash Flow'!E11</f>
        <v/>
      </c>
      <c r="F6" s="12">
        <f>'Free Cash Flow'!F11</f>
        <v/>
      </c>
      <c r="G6" s="12">
        <f>'Free Cash Flow'!G11</f>
        <v/>
      </c>
      <c r="H6" s="12">
        <f>'Free Cash Flow'!H11</f>
        <v/>
      </c>
      <c r="I6" s="12">
        <f>'Free Cash Flow'!I11</f>
        <v/>
      </c>
      <c r="J6" s="12">
        <f>'Free Cash Flow'!J11</f>
        <v/>
      </c>
      <c r="K6" s="12">
        <f>'Free Cash Flow'!K11</f>
        <v/>
      </c>
      <c r="L6" s="12">
        <f>'Free Cash Flow'!L11</f>
        <v/>
      </c>
      <c r="M6" s="12">
        <f>'Free Cash Flow'!M11</f>
        <v/>
      </c>
      <c r="N6" s="12">
        <f>'Free Cash Flow'!N11</f>
        <v/>
      </c>
      <c r="O6" s="12">
        <f>'Free Cash Flow'!O11</f>
        <v/>
      </c>
      <c r="P6" s="12">
        <f>'Free Cash Flow'!P11</f>
        <v/>
      </c>
      <c r="Q6" s="12">
        <f>'Free Cash Flow'!Q11</f>
        <v/>
      </c>
      <c r="R6" s="12">
        <f>'Free Cash Flow'!R11</f>
        <v/>
      </c>
      <c r="S6" s="12">
        <f>'Free Cash Flow'!S11</f>
        <v/>
      </c>
      <c r="T6" s="12">
        <f>'Free Cash Flow'!T11</f>
        <v/>
      </c>
      <c r="U6" s="12">
        <f>'Free Cash Flow'!U11</f>
        <v/>
      </c>
      <c r="V6" s="12">
        <f>'Free Cash Flow'!V11</f>
        <v/>
      </c>
    </row>
    <row r="8">
      <c r="A8" s="3" t="inlineStr">
        <is>
          <t>Interest &amp; Fees (on Beginning Balances)</t>
        </is>
      </c>
    </row>
    <row r="9">
      <c r="A9" s="4" t="inlineStr">
        <is>
          <t>Revolver Interest</t>
        </is>
      </c>
      <c r="B9" s="12" t="n">
        <v>0</v>
      </c>
      <c r="C9" s="12">
        <f>B51*('Assumptions'!$B$25+'Assumptions'!$B$41)/4</f>
        <v/>
      </c>
      <c r="D9" s="12">
        <f>C51*('Assumptions'!$B$25+'Assumptions'!$B$41)/4</f>
        <v/>
      </c>
      <c r="E9" s="12">
        <f>D51*('Assumptions'!$B$25+'Assumptions'!$B$41)/4</f>
        <v/>
      </c>
      <c r="F9" s="12">
        <f>E51*('Assumptions'!$B$25+'Assumptions'!$B$41)/4</f>
        <v/>
      </c>
      <c r="G9" s="12">
        <f>F51*('Assumptions'!$B$25+'Assumptions'!$B$41)/4</f>
        <v/>
      </c>
      <c r="H9" s="12">
        <f>G51*('Assumptions'!$B$25+'Assumptions'!$B$41)/4</f>
        <v/>
      </c>
      <c r="I9" s="12">
        <f>H51*('Assumptions'!$B$25+'Assumptions'!$B$41)/4</f>
        <v/>
      </c>
      <c r="J9" s="12">
        <f>I51*('Assumptions'!$B$25+'Assumptions'!$B$41)/4</f>
        <v/>
      </c>
      <c r="K9" s="12">
        <f>J51*('Assumptions'!$B$25+'Assumptions'!$B$41)/4</f>
        <v/>
      </c>
      <c r="L9" s="12">
        <f>K51*('Assumptions'!$B$25+'Assumptions'!$B$41)/4</f>
        <v/>
      </c>
      <c r="M9" s="12">
        <f>L51*('Assumptions'!$B$25+'Assumptions'!$B$41)/4</f>
        <v/>
      </c>
      <c r="N9" s="12">
        <f>M51*('Assumptions'!$B$25+'Assumptions'!$B$41)/4</f>
        <v/>
      </c>
      <c r="O9" s="12">
        <f>N51*('Assumptions'!$B$25+'Assumptions'!$B$41)/4</f>
        <v/>
      </c>
      <c r="P9" s="12">
        <f>O51*('Assumptions'!$B$25+'Assumptions'!$B$41)/4</f>
        <v/>
      </c>
      <c r="Q9" s="12">
        <f>P51*('Assumptions'!$B$25+'Assumptions'!$B$41)/4</f>
        <v/>
      </c>
      <c r="R9" s="12">
        <f>Q51*('Assumptions'!$B$25+'Assumptions'!$B$41)/4</f>
        <v/>
      </c>
      <c r="S9" s="12">
        <f>R51*('Assumptions'!$B$25+'Assumptions'!$B$41)/4</f>
        <v/>
      </c>
      <c r="T9" s="12">
        <f>S51*('Assumptions'!$B$25+'Assumptions'!$B$41)/4</f>
        <v/>
      </c>
      <c r="U9" s="12">
        <f>T51*('Assumptions'!$B$25+'Assumptions'!$B$41)/4</f>
        <v/>
      </c>
      <c r="V9" s="12">
        <f>U51*('Assumptions'!$B$25+'Assumptions'!$B$41)/4</f>
        <v/>
      </c>
    </row>
    <row r="10">
      <c r="A10" s="4" t="inlineStr">
        <is>
          <t>Revolver Commitment Fee (on undrawn)</t>
        </is>
      </c>
      <c r="B10" s="12" t="n">
        <v>0</v>
      </c>
      <c r="C10" s="12">
        <f>('Assumptions'!$B$40-B51)*'Assumptions'!$B$42/4</f>
        <v/>
      </c>
      <c r="D10" s="12">
        <f>('Assumptions'!$B$40-C51)*'Assumptions'!$B$42/4</f>
        <v/>
      </c>
      <c r="E10" s="12">
        <f>('Assumptions'!$B$40-D51)*'Assumptions'!$B$42/4</f>
        <v/>
      </c>
      <c r="F10" s="12">
        <f>('Assumptions'!$B$40-E51)*'Assumptions'!$B$42/4</f>
        <v/>
      </c>
      <c r="G10" s="12">
        <f>('Assumptions'!$B$40-F51)*'Assumptions'!$B$42/4</f>
        <v/>
      </c>
      <c r="H10" s="12">
        <f>('Assumptions'!$B$40-G51)*'Assumptions'!$B$42/4</f>
        <v/>
      </c>
      <c r="I10" s="12">
        <f>('Assumptions'!$B$40-H51)*'Assumptions'!$B$42/4</f>
        <v/>
      </c>
      <c r="J10" s="12">
        <f>('Assumptions'!$B$40-I51)*'Assumptions'!$B$42/4</f>
        <v/>
      </c>
      <c r="K10" s="12">
        <f>('Assumptions'!$B$40-J51)*'Assumptions'!$B$42/4</f>
        <v/>
      </c>
      <c r="L10" s="12">
        <f>('Assumptions'!$B$40-K51)*'Assumptions'!$B$42/4</f>
        <v/>
      </c>
      <c r="M10" s="12">
        <f>('Assumptions'!$B$40-L51)*'Assumptions'!$B$42/4</f>
        <v/>
      </c>
      <c r="N10" s="12">
        <f>('Assumptions'!$B$40-M51)*'Assumptions'!$B$42/4</f>
        <v/>
      </c>
      <c r="O10" s="12">
        <f>('Assumptions'!$B$40-N51)*'Assumptions'!$B$42/4</f>
        <v/>
      </c>
      <c r="P10" s="12">
        <f>('Assumptions'!$B$40-O51)*'Assumptions'!$B$42/4</f>
        <v/>
      </c>
      <c r="Q10" s="12">
        <f>('Assumptions'!$B$40-P51)*'Assumptions'!$B$42/4</f>
        <v/>
      </c>
      <c r="R10" s="12">
        <f>('Assumptions'!$B$40-Q51)*'Assumptions'!$B$42/4</f>
        <v/>
      </c>
      <c r="S10" s="12">
        <f>('Assumptions'!$B$40-R51)*'Assumptions'!$B$42/4</f>
        <v/>
      </c>
      <c r="T10" s="12">
        <f>('Assumptions'!$B$40-S51)*'Assumptions'!$B$42/4</f>
        <v/>
      </c>
      <c r="U10" s="12">
        <f>('Assumptions'!$B$40-T51)*'Assumptions'!$B$42/4</f>
        <v/>
      </c>
      <c r="V10" s="12">
        <f>('Assumptions'!$B$40-U51)*'Assumptions'!$B$42/4</f>
        <v/>
      </c>
    </row>
    <row r="11">
      <c r="A11" s="4" t="inlineStr">
        <is>
          <t>Term Loan A Interest</t>
        </is>
      </c>
      <c r="B11" s="12" t="n">
        <v>0</v>
      </c>
      <c r="C11" s="12">
        <f>B35*('Assumptions'!$B$25+'Assumptions'!$B$31)/4</f>
        <v/>
      </c>
      <c r="D11" s="12">
        <f>C35*('Assumptions'!$B$25+'Assumptions'!$B$31)/4</f>
        <v/>
      </c>
      <c r="E11" s="12">
        <f>D35*('Assumptions'!$B$25+'Assumptions'!$B$31)/4</f>
        <v/>
      </c>
      <c r="F11" s="12">
        <f>E35*('Assumptions'!$B$25+'Assumptions'!$B$31)/4</f>
        <v/>
      </c>
      <c r="G11" s="12">
        <f>F35*('Assumptions'!$B$25+'Assumptions'!$B$31)/4</f>
        <v/>
      </c>
      <c r="H11" s="12">
        <f>G35*('Assumptions'!$B$25+'Assumptions'!$B$31)/4</f>
        <v/>
      </c>
      <c r="I11" s="12">
        <f>H35*('Assumptions'!$B$25+'Assumptions'!$B$31)/4</f>
        <v/>
      </c>
      <c r="J11" s="12">
        <f>I35*('Assumptions'!$B$25+'Assumptions'!$B$31)/4</f>
        <v/>
      </c>
      <c r="K11" s="12">
        <f>J35*('Assumptions'!$B$25+'Assumptions'!$B$31)/4</f>
        <v/>
      </c>
      <c r="L11" s="12">
        <f>K35*('Assumptions'!$B$25+'Assumptions'!$B$31)/4</f>
        <v/>
      </c>
      <c r="M11" s="12">
        <f>L35*('Assumptions'!$B$25+'Assumptions'!$B$31)/4</f>
        <v/>
      </c>
      <c r="N11" s="12">
        <f>M35*('Assumptions'!$B$25+'Assumptions'!$B$31)/4</f>
        <v/>
      </c>
      <c r="O11" s="12">
        <f>N35*('Assumptions'!$B$25+'Assumptions'!$B$31)/4</f>
        <v/>
      </c>
      <c r="P11" s="12">
        <f>O35*('Assumptions'!$B$25+'Assumptions'!$B$31)/4</f>
        <v/>
      </c>
      <c r="Q11" s="12">
        <f>P35*('Assumptions'!$B$25+'Assumptions'!$B$31)/4</f>
        <v/>
      </c>
      <c r="R11" s="12">
        <f>Q35*('Assumptions'!$B$25+'Assumptions'!$B$31)/4</f>
        <v/>
      </c>
      <c r="S11" s="12">
        <f>R35*('Assumptions'!$B$25+'Assumptions'!$B$31)/4</f>
        <v/>
      </c>
      <c r="T11" s="12">
        <f>S35*('Assumptions'!$B$25+'Assumptions'!$B$31)/4</f>
        <v/>
      </c>
      <c r="U11" s="12">
        <f>T35*('Assumptions'!$B$25+'Assumptions'!$B$31)/4</f>
        <v/>
      </c>
      <c r="V11" s="12">
        <f>U35*('Assumptions'!$B$25+'Assumptions'!$B$31)/4</f>
        <v/>
      </c>
    </row>
    <row r="12">
      <c r="A12" s="4" t="inlineStr">
        <is>
          <t>Term Loan B Interest</t>
        </is>
      </c>
      <c r="B12" s="12" t="n">
        <v>0</v>
      </c>
      <c r="C12" s="12">
        <f>B41*('Assumptions'!$B$25+'Assumptions'!$B$36)/4</f>
        <v/>
      </c>
      <c r="D12" s="12">
        <f>C41*('Assumptions'!$B$25+'Assumptions'!$B$36)/4</f>
        <v/>
      </c>
      <c r="E12" s="12">
        <f>D41*('Assumptions'!$B$25+'Assumptions'!$B$36)/4</f>
        <v/>
      </c>
      <c r="F12" s="12">
        <f>E41*('Assumptions'!$B$25+'Assumptions'!$B$36)/4</f>
        <v/>
      </c>
      <c r="G12" s="12">
        <f>F41*('Assumptions'!$B$25+'Assumptions'!$B$36)/4</f>
        <v/>
      </c>
      <c r="H12" s="12">
        <f>G41*('Assumptions'!$B$25+'Assumptions'!$B$36)/4</f>
        <v/>
      </c>
      <c r="I12" s="12">
        <f>H41*('Assumptions'!$B$25+'Assumptions'!$B$36)/4</f>
        <v/>
      </c>
      <c r="J12" s="12">
        <f>I41*('Assumptions'!$B$25+'Assumptions'!$B$36)/4</f>
        <v/>
      </c>
      <c r="K12" s="12">
        <f>J41*('Assumptions'!$B$25+'Assumptions'!$B$36)/4</f>
        <v/>
      </c>
      <c r="L12" s="12">
        <f>K41*('Assumptions'!$B$25+'Assumptions'!$B$36)/4</f>
        <v/>
      </c>
      <c r="M12" s="12">
        <f>L41*('Assumptions'!$B$25+'Assumptions'!$B$36)/4</f>
        <v/>
      </c>
      <c r="N12" s="12">
        <f>M41*('Assumptions'!$B$25+'Assumptions'!$B$36)/4</f>
        <v/>
      </c>
      <c r="O12" s="12">
        <f>N41*('Assumptions'!$B$25+'Assumptions'!$B$36)/4</f>
        <v/>
      </c>
      <c r="P12" s="12">
        <f>O41*('Assumptions'!$B$25+'Assumptions'!$B$36)/4</f>
        <v/>
      </c>
      <c r="Q12" s="12">
        <f>P41*('Assumptions'!$B$25+'Assumptions'!$B$36)/4</f>
        <v/>
      </c>
      <c r="R12" s="12">
        <f>Q41*('Assumptions'!$B$25+'Assumptions'!$B$36)/4</f>
        <v/>
      </c>
      <c r="S12" s="12">
        <f>R41*('Assumptions'!$B$25+'Assumptions'!$B$36)/4</f>
        <v/>
      </c>
      <c r="T12" s="12">
        <f>S41*('Assumptions'!$B$25+'Assumptions'!$B$36)/4</f>
        <v/>
      </c>
      <c r="U12" s="12">
        <f>T41*('Assumptions'!$B$25+'Assumptions'!$B$36)/4</f>
        <v/>
      </c>
      <c r="V12" s="12">
        <f>U41*('Assumptions'!$B$25+'Assumptions'!$B$36)/4</f>
        <v/>
      </c>
    </row>
    <row r="13">
      <c r="A13" s="4" t="inlineStr">
        <is>
          <t>Mezzanine Cash-Pay Interest</t>
        </is>
      </c>
      <c r="B13" s="12" t="n">
        <v>0</v>
      </c>
      <c r="C13" s="12">
        <f>B46*'Assumptions'!$B$46/4</f>
        <v/>
      </c>
      <c r="D13" s="12">
        <f>C46*'Assumptions'!$B$46/4</f>
        <v/>
      </c>
      <c r="E13" s="12">
        <f>D46*'Assumptions'!$B$46/4</f>
        <v/>
      </c>
      <c r="F13" s="12">
        <f>E46*'Assumptions'!$B$46/4</f>
        <v/>
      </c>
      <c r="G13" s="12">
        <f>F46*'Assumptions'!$B$46/4</f>
        <v/>
      </c>
      <c r="H13" s="12">
        <f>G46*'Assumptions'!$B$46/4</f>
        <v/>
      </c>
      <c r="I13" s="12">
        <f>H46*'Assumptions'!$B$46/4</f>
        <v/>
      </c>
      <c r="J13" s="12">
        <f>I46*'Assumptions'!$B$46/4</f>
        <v/>
      </c>
      <c r="K13" s="12">
        <f>J46*'Assumptions'!$B$46/4</f>
        <v/>
      </c>
      <c r="L13" s="12">
        <f>K46*'Assumptions'!$B$46/4</f>
        <v/>
      </c>
      <c r="M13" s="12">
        <f>L46*'Assumptions'!$B$46/4</f>
        <v/>
      </c>
      <c r="N13" s="12">
        <f>M46*'Assumptions'!$B$46/4</f>
        <v/>
      </c>
      <c r="O13" s="12">
        <f>N46*'Assumptions'!$B$46/4</f>
        <v/>
      </c>
      <c r="P13" s="12">
        <f>O46*'Assumptions'!$B$46/4</f>
        <v/>
      </c>
      <c r="Q13" s="12">
        <f>P46*'Assumptions'!$B$46/4</f>
        <v/>
      </c>
      <c r="R13" s="12">
        <f>Q46*'Assumptions'!$B$46/4</f>
        <v/>
      </c>
      <c r="S13" s="12">
        <f>R46*'Assumptions'!$B$46/4</f>
        <v/>
      </c>
      <c r="T13" s="12">
        <f>S46*'Assumptions'!$B$46/4</f>
        <v/>
      </c>
      <c r="U13" s="12">
        <f>T46*'Assumptions'!$B$46/4</f>
        <v/>
      </c>
      <c r="V13" s="12">
        <f>U46*'Assumptions'!$B$46/4</f>
        <v/>
      </c>
    </row>
    <row r="14">
      <c r="A14" s="4" t="inlineStr">
        <is>
          <t>Mezzanine PIK Interest (memo, non-cash)</t>
        </is>
      </c>
      <c r="B14" s="12" t="n">
        <v>0</v>
      </c>
      <c r="C14" s="12">
        <f>B46*'Assumptions'!$B$47/4</f>
        <v/>
      </c>
      <c r="D14" s="12">
        <f>C46*'Assumptions'!$B$47/4</f>
        <v/>
      </c>
      <c r="E14" s="12">
        <f>D46*'Assumptions'!$B$47/4</f>
        <v/>
      </c>
      <c r="F14" s="12">
        <f>E46*'Assumptions'!$B$47/4</f>
        <v/>
      </c>
      <c r="G14" s="12">
        <f>F46*'Assumptions'!$B$47/4</f>
        <v/>
      </c>
      <c r="H14" s="12">
        <f>G46*'Assumptions'!$B$47/4</f>
        <v/>
      </c>
      <c r="I14" s="12">
        <f>H46*'Assumptions'!$B$47/4</f>
        <v/>
      </c>
      <c r="J14" s="12">
        <f>I46*'Assumptions'!$B$47/4</f>
        <v/>
      </c>
      <c r="K14" s="12">
        <f>J46*'Assumptions'!$B$47/4</f>
        <v/>
      </c>
      <c r="L14" s="12">
        <f>K46*'Assumptions'!$B$47/4</f>
        <v/>
      </c>
      <c r="M14" s="12">
        <f>L46*'Assumptions'!$B$47/4</f>
        <v/>
      </c>
      <c r="N14" s="12">
        <f>M46*'Assumptions'!$B$47/4</f>
        <v/>
      </c>
      <c r="O14" s="12">
        <f>N46*'Assumptions'!$B$47/4</f>
        <v/>
      </c>
      <c r="P14" s="12">
        <f>O46*'Assumptions'!$B$47/4</f>
        <v/>
      </c>
      <c r="Q14" s="12">
        <f>P46*'Assumptions'!$B$47/4</f>
        <v/>
      </c>
      <c r="R14" s="12">
        <f>Q46*'Assumptions'!$B$47/4</f>
        <v/>
      </c>
      <c r="S14" s="12">
        <f>R46*'Assumptions'!$B$47/4</f>
        <v/>
      </c>
      <c r="T14" s="12">
        <f>S46*'Assumptions'!$B$47/4</f>
        <v/>
      </c>
      <c r="U14" s="12">
        <f>T46*'Assumptions'!$B$47/4</f>
        <v/>
      </c>
      <c r="V14" s="12">
        <f>U46*'Assumptions'!$B$47/4</f>
        <v/>
      </c>
    </row>
    <row r="15">
      <c r="A15" s="10" t="inlineStr">
        <is>
          <t>Total Cash Interest &amp; Fees</t>
        </is>
      </c>
      <c r="B15" s="12" t="n">
        <v>0</v>
      </c>
      <c r="C15" s="11">
        <f>C9+C10+C11+C12+C13</f>
        <v/>
      </c>
      <c r="D15" s="11">
        <f>D9+D10+D11+D12+D13</f>
        <v/>
      </c>
      <c r="E15" s="11">
        <f>E9+E10+E11+E12+E13</f>
        <v/>
      </c>
      <c r="F15" s="11">
        <f>F9+F10+F11+F12+F13</f>
        <v/>
      </c>
      <c r="G15" s="11">
        <f>G9+G10+G11+G12+G13</f>
        <v/>
      </c>
      <c r="H15" s="11">
        <f>H9+H10+H11+H12+H13</f>
        <v/>
      </c>
      <c r="I15" s="11">
        <f>I9+I10+I11+I12+I13</f>
        <v/>
      </c>
      <c r="J15" s="11">
        <f>J9+J10+J11+J12+J13</f>
        <v/>
      </c>
      <c r="K15" s="11">
        <f>K9+K10+K11+K12+K13</f>
        <v/>
      </c>
      <c r="L15" s="11">
        <f>L9+L10+L11+L12+L13</f>
        <v/>
      </c>
      <c r="M15" s="11">
        <f>M9+M10+M11+M12+M13</f>
        <v/>
      </c>
      <c r="N15" s="11">
        <f>N9+N10+N11+N12+N13</f>
        <v/>
      </c>
      <c r="O15" s="11">
        <f>O9+O10+O11+O12+O13</f>
        <v/>
      </c>
      <c r="P15" s="11">
        <f>P9+P10+P11+P12+P13</f>
        <v/>
      </c>
      <c r="Q15" s="11">
        <f>Q9+Q10+Q11+Q12+Q13</f>
        <v/>
      </c>
      <c r="R15" s="11">
        <f>R9+R10+R11+R12+R13</f>
        <v/>
      </c>
      <c r="S15" s="11">
        <f>S9+S10+S11+S12+S13</f>
        <v/>
      </c>
      <c r="T15" s="11">
        <f>T9+T10+T11+T12+T13</f>
        <v/>
      </c>
      <c r="U15" s="11">
        <f>U9+U10+U11+U12+U13</f>
        <v/>
      </c>
      <c r="V15" s="11">
        <f>V9+V10+V11+V12+V13</f>
        <v/>
      </c>
    </row>
    <row r="16">
      <c r="A16" s="10" t="inlineStr">
        <is>
          <t>Total P&amp;L Interest Expense (incl. PIK)</t>
        </is>
      </c>
      <c r="B16" s="12" t="n">
        <v>0</v>
      </c>
      <c r="C16" s="11">
        <f>C15+C14</f>
        <v/>
      </c>
      <c r="D16" s="11">
        <f>D15+D14</f>
        <v/>
      </c>
      <c r="E16" s="11">
        <f>E15+E14</f>
        <v/>
      </c>
      <c r="F16" s="11">
        <f>F15+F14</f>
        <v/>
      </c>
      <c r="G16" s="11">
        <f>G15+G14</f>
        <v/>
      </c>
      <c r="H16" s="11">
        <f>H15+H14</f>
        <v/>
      </c>
      <c r="I16" s="11">
        <f>I15+I14</f>
        <v/>
      </c>
      <c r="J16" s="11">
        <f>J15+J14</f>
        <v/>
      </c>
      <c r="K16" s="11">
        <f>K15+K14</f>
        <v/>
      </c>
      <c r="L16" s="11">
        <f>L15+L14</f>
        <v/>
      </c>
      <c r="M16" s="11">
        <f>M15+M14</f>
        <v/>
      </c>
      <c r="N16" s="11">
        <f>N15+N14</f>
        <v/>
      </c>
      <c r="O16" s="11">
        <f>O15+O14</f>
        <v/>
      </c>
      <c r="P16" s="11">
        <f>P15+P14</f>
        <v/>
      </c>
      <c r="Q16" s="11">
        <f>Q15+Q14</f>
        <v/>
      </c>
      <c r="R16" s="11">
        <f>R15+R14</f>
        <v/>
      </c>
      <c r="S16" s="11">
        <f>S15+S14</f>
        <v/>
      </c>
      <c r="T16" s="11">
        <f>T15+T14</f>
        <v/>
      </c>
      <c r="U16" s="11">
        <f>U15+U14</f>
        <v/>
      </c>
      <c r="V16" s="11">
        <f>V15+V14</f>
        <v/>
      </c>
    </row>
    <row r="18">
      <c r="A18" s="3" t="inlineStr">
        <is>
          <t>Mandatory Amortization</t>
        </is>
      </c>
    </row>
    <row r="19">
      <c r="A19" s="4" t="inlineStr">
        <is>
          <t>Term Loan A Mandatory Amort.</t>
        </is>
      </c>
      <c r="B19" s="12" t="n">
        <v>0</v>
      </c>
      <c r="C19" s="12">
        <f>-MIN('Sources &amp; Uses'!$B$12*'Assumptions'!$B$32/4,B35)</f>
        <v/>
      </c>
      <c r="D19" s="12">
        <f>-MIN('Sources &amp; Uses'!$B$12*'Assumptions'!$B$32/4,C35)</f>
        <v/>
      </c>
      <c r="E19" s="12">
        <f>-MIN('Sources &amp; Uses'!$B$12*'Assumptions'!$B$32/4,D35)</f>
        <v/>
      </c>
      <c r="F19" s="12">
        <f>-MIN('Sources &amp; Uses'!$B$12*'Assumptions'!$B$32/4,E35)</f>
        <v/>
      </c>
      <c r="G19" s="12">
        <f>-MIN('Sources &amp; Uses'!$B$12*'Assumptions'!$B$32/4,F35)</f>
        <v/>
      </c>
      <c r="H19" s="12">
        <f>-MIN('Sources &amp; Uses'!$B$12*'Assumptions'!$B$32/4,G35)</f>
        <v/>
      </c>
      <c r="I19" s="12">
        <f>-MIN('Sources &amp; Uses'!$B$12*'Assumptions'!$B$32/4,H35)</f>
        <v/>
      </c>
      <c r="J19" s="12">
        <f>-MIN('Sources &amp; Uses'!$B$12*'Assumptions'!$B$32/4,I35)</f>
        <v/>
      </c>
      <c r="K19" s="12">
        <f>-MIN('Sources &amp; Uses'!$B$12*'Assumptions'!$B$32/4,J35)</f>
        <v/>
      </c>
      <c r="L19" s="12">
        <f>-MIN('Sources &amp; Uses'!$B$12*'Assumptions'!$B$32/4,K35)</f>
        <v/>
      </c>
      <c r="M19" s="12">
        <f>-MIN('Sources &amp; Uses'!$B$12*'Assumptions'!$B$32/4,L35)</f>
        <v/>
      </c>
      <c r="N19" s="12">
        <f>-MIN('Sources &amp; Uses'!$B$12*'Assumptions'!$B$32/4,M35)</f>
        <v/>
      </c>
      <c r="O19" s="12">
        <f>-MIN('Sources &amp; Uses'!$B$12*'Assumptions'!$B$32/4,N35)</f>
        <v/>
      </c>
      <c r="P19" s="12">
        <f>-MIN('Sources &amp; Uses'!$B$12*'Assumptions'!$B$32/4,O35)</f>
        <v/>
      </c>
      <c r="Q19" s="12">
        <f>-MIN('Sources &amp; Uses'!$B$12*'Assumptions'!$B$32/4,P35)</f>
        <v/>
      </c>
      <c r="R19" s="12">
        <f>-MIN('Sources &amp; Uses'!$B$12*'Assumptions'!$B$32/4,Q35)</f>
        <v/>
      </c>
      <c r="S19" s="12">
        <f>-MIN('Sources &amp; Uses'!$B$12*'Assumptions'!$B$32/4,R35)</f>
        <v/>
      </c>
      <c r="T19" s="12">
        <f>-MIN('Sources &amp; Uses'!$B$12*'Assumptions'!$B$32/4,S35)</f>
        <v/>
      </c>
      <c r="U19" s="12">
        <f>-MIN('Sources &amp; Uses'!$B$12*'Assumptions'!$B$32/4,T35)</f>
        <v/>
      </c>
      <c r="V19" s="12">
        <f>-MIN('Sources &amp; Uses'!$B$12*'Assumptions'!$B$32/4,U35)</f>
        <v/>
      </c>
    </row>
    <row r="20">
      <c r="A20" s="4" t="inlineStr">
        <is>
          <t>Term Loan B Mandatory Amort.</t>
        </is>
      </c>
      <c r="B20" s="12" t="n">
        <v>0</v>
      </c>
      <c r="C20" s="12">
        <f>-MIN('Sources &amp; Uses'!$B$13*'Assumptions'!$B$37/4,B41)</f>
        <v/>
      </c>
      <c r="D20" s="12">
        <f>-MIN('Sources &amp; Uses'!$B$13*'Assumptions'!$B$37/4,C41)</f>
        <v/>
      </c>
      <c r="E20" s="12">
        <f>-MIN('Sources &amp; Uses'!$B$13*'Assumptions'!$B$37/4,D41)</f>
        <v/>
      </c>
      <c r="F20" s="12">
        <f>-MIN('Sources &amp; Uses'!$B$13*'Assumptions'!$B$37/4,E41)</f>
        <v/>
      </c>
      <c r="G20" s="12">
        <f>-MIN('Sources &amp; Uses'!$B$13*'Assumptions'!$B$37/4,F41)</f>
        <v/>
      </c>
      <c r="H20" s="12">
        <f>-MIN('Sources &amp; Uses'!$B$13*'Assumptions'!$B$37/4,G41)</f>
        <v/>
      </c>
      <c r="I20" s="12">
        <f>-MIN('Sources &amp; Uses'!$B$13*'Assumptions'!$B$37/4,H41)</f>
        <v/>
      </c>
      <c r="J20" s="12">
        <f>-MIN('Sources &amp; Uses'!$B$13*'Assumptions'!$B$37/4,I41)</f>
        <v/>
      </c>
      <c r="K20" s="12">
        <f>-MIN('Sources &amp; Uses'!$B$13*'Assumptions'!$B$37/4,J41)</f>
        <v/>
      </c>
      <c r="L20" s="12">
        <f>-MIN('Sources &amp; Uses'!$B$13*'Assumptions'!$B$37/4,K41)</f>
        <v/>
      </c>
      <c r="M20" s="12">
        <f>-MIN('Sources &amp; Uses'!$B$13*'Assumptions'!$B$37/4,L41)</f>
        <v/>
      </c>
      <c r="N20" s="12">
        <f>-MIN('Sources &amp; Uses'!$B$13*'Assumptions'!$B$37/4,M41)</f>
        <v/>
      </c>
      <c r="O20" s="12">
        <f>-MIN('Sources &amp; Uses'!$B$13*'Assumptions'!$B$37/4,N41)</f>
        <v/>
      </c>
      <c r="P20" s="12">
        <f>-MIN('Sources &amp; Uses'!$B$13*'Assumptions'!$B$37/4,O41)</f>
        <v/>
      </c>
      <c r="Q20" s="12">
        <f>-MIN('Sources &amp; Uses'!$B$13*'Assumptions'!$B$37/4,P41)</f>
        <v/>
      </c>
      <c r="R20" s="12">
        <f>-MIN('Sources &amp; Uses'!$B$13*'Assumptions'!$B$37/4,Q41)</f>
        <v/>
      </c>
      <c r="S20" s="12">
        <f>-MIN('Sources &amp; Uses'!$B$13*'Assumptions'!$B$37/4,R41)</f>
        <v/>
      </c>
      <c r="T20" s="12">
        <f>-MIN('Sources &amp; Uses'!$B$13*'Assumptions'!$B$37/4,S41)</f>
        <v/>
      </c>
      <c r="U20" s="12">
        <f>-MIN('Sources &amp; Uses'!$B$13*'Assumptions'!$B$37/4,T41)</f>
        <v/>
      </c>
      <c r="V20" s="12">
        <f>-MIN('Sources &amp; Uses'!$B$13*'Assumptions'!$B$37/4,U41)</f>
        <v/>
      </c>
    </row>
    <row r="21">
      <c r="A21" s="10" t="inlineStr">
        <is>
          <t>Total Mandatory Amortization</t>
        </is>
      </c>
      <c r="B21" s="11" t="n">
        <v>0</v>
      </c>
      <c r="C21" s="11">
        <f>C19+C20</f>
        <v/>
      </c>
      <c r="D21" s="11">
        <f>D19+D20</f>
        <v/>
      </c>
      <c r="E21" s="11">
        <f>E19+E20</f>
        <v/>
      </c>
      <c r="F21" s="11">
        <f>F19+F20</f>
        <v/>
      </c>
      <c r="G21" s="11">
        <f>G19+G20</f>
        <v/>
      </c>
      <c r="H21" s="11">
        <f>H19+H20</f>
        <v/>
      </c>
      <c r="I21" s="11">
        <f>I19+I20</f>
        <v/>
      </c>
      <c r="J21" s="11">
        <f>J19+J20</f>
        <v/>
      </c>
      <c r="K21" s="11">
        <f>K19+K20</f>
        <v/>
      </c>
      <c r="L21" s="11">
        <f>L19+L20</f>
        <v/>
      </c>
      <c r="M21" s="11">
        <f>M19+M20</f>
        <v/>
      </c>
      <c r="N21" s="11">
        <f>N19+N20</f>
        <v/>
      </c>
      <c r="O21" s="11">
        <f>O19+O20</f>
        <v/>
      </c>
      <c r="P21" s="11">
        <f>P19+P20</f>
        <v/>
      </c>
      <c r="Q21" s="11">
        <f>Q19+Q20</f>
        <v/>
      </c>
      <c r="R21" s="11">
        <f>R19+R20</f>
        <v/>
      </c>
      <c r="S21" s="11">
        <f>S19+S20</f>
        <v/>
      </c>
      <c r="T21" s="11">
        <f>T19+T20</f>
        <v/>
      </c>
      <c r="U21" s="11">
        <f>U19+U20</f>
        <v/>
      </c>
      <c r="V21" s="11">
        <f>V19+V20</f>
        <v/>
      </c>
    </row>
    <row r="23">
      <c r="A23" s="4" t="inlineStr">
        <is>
          <t>Cash Flow Before Revolver</t>
        </is>
      </c>
      <c r="B23" s="12" t="n">
        <v>0</v>
      </c>
      <c r="C23" s="12">
        <f>C6+C21</f>
        <v/>
      </c>
      <c r="D23" s="12">
        <f>D6+D21</f>
        <v/>
      </c>
      <c r="E23" s="12">
        <f>E6+E21</f>
        <v/>
      </c>
      <c r="F23" s="12">
        <f>F6+F21</f>
        <v/>
      </c>
      <c r="G23" s="12">
        <f>G6+G21</f>
        <v/>
      </c>
      <c r="H23" s="12">
        <f>H6+H21</f>
        <v/>
      </c>
      <c r="I23" s="12">
        <f>I6+I21</f>
        <v/>
      </c>
      <c r="J23" s="12">
        <f>J6+J21</f>
        <v/>
      </c>
      <c r="K23" s="12">
        <f>K6+K21</f>
        <v/>
      </c>
      <c r="L23" s="12">
        <f>L6+L21</f>
        <v/>
      </c>
      <c r="M23" s="12">
        <f>M6+M21</f>
        <v/>
      </c>
      <c r="N23" s="12">
        <f>N6+N21</f>
        <v/>
      </c>
      <c r="O23" s="12">
        <f>O6+O21</f>
        <v/>
      </c>
      <c r="P23" s="12">
        <f>P6+P21</f>
        <v/>
      </c>
      <c r="Q23" s="12">
        <f>Q6+Q21</f>
        <v/>
      </c>
      <c r="R23" s="12">
        <f>R6+R21</f>
        <v/>
      </c>
      <c r="S23" s="12">
        <f>S6+S21</f>
        <v/>
      </c>
      <c r="T23" s="12">
        <f>T6+T21</f>
        <v/>
      </c>
      <c r="U23" s="12">
        <f>U6+U21</f>
        <v/>
      </c>
      <c r="V23" s="12">
        <f>V6+V21</f>
        <v/>
      </c>
    </row>
    <row r="25">
      <c r="A25" s="3" t="inlineStr">
        <is>
          <t>Revolver Sweep / Draw (1st priority)</t>
        </is>
      </c>
    </row>
    <row r="26">
      <c r="A26" s="4" t="inlineStr">
        <is>
          <t>Revolver Draw / (Paydown)</t>
        </is>
      </c>
      <c r="B26" s="12" t="n">
        <v>0</v>
      </c>
      <c r="C26" s="12">
        <f>IF(C23&lt;0,-C23,-MIN(C23,B51))</f>
        <v/>
      </c>
      <c r="D26" s="12">
        <f>IF(D23&lt;0,-D23,-MIN(D23,C51))</f>
        <v/>
      </c>
      <c r="E26" s="12">
        <f>IF(E23&lt;0,-E23,-MIN(E23,D51))</f>
        <v/>
      </c>
      <c r="F26" s="12">
        <f>IF(F23&lt;0,-F23,-MIN(F23,E51))</f>
        <v/>
      </c>
      <c r="G26" s="12">
        <f>IF(G23&lt;0,-G23,-MIN(G23,F51))</f>
        <v/>
      </c>
      <c r="H26" s="12">
        <f>IF(H23&lt;0,-H23,-MIN(H23,G51))</f>
        <v/>
      </c>
      <c r="I26" s="12">
        <f>IF(I23&lt;0,-I23,-MIN(I23,H51))</f>
        <v/>
      </c>
      <c r="J26" s="12">
        <f>IF(J23&lt;0,-J23,-MIN(J23,I51))</f>
        <v/>
      </c>
      <c r="K26" s="12">
        <f>IF(K23&lt;0,-K23,-MIN(K23,J51))</f>
        <v/>
      </c>
      <c r="L26" s="12">
        <f>IF(L23&lt;0,-L23,-MIN(L23,K51))</f>
        <v/>
      </c>
      <c r="M26" s="12">
        <f>IF(M23&lt;0,-M23,-MIN(M23,L51))</f>
        <v/>
      </c>
      <c r="N26" s="12">
        <f>IF(N23&lt;0,-N23,-MIN(N23,M51))</f>
        <v/>
      </c>
      <c r="O26" s="12">
        <f>IF(O23&lt;0,-O23,-MIN(O23,N51))</f>
        <v/>
      </c>
      <c r="P26" s="12">
        <f>IF(P23&lt;0,-P23,-MIN(P23,O51))</f>
        <v/>
      </c>
      <c r="Q26" s="12">
        <f>IF(Q23&lt;0,-Q23,-MIN(Q23,P51))</f>
        <v/>
      </c>
      <c r="R26" s="12">
        <f>IF(R23&lt;0,-R23,-MIN(R23,Q51))</f>
        <v/>
      </c>
      <c r="S26" s="12">
        <f>IF(S23&lt;0,-S23,-MIN(S23,R51))</f>
        <v/>
      </c>
      <c r="T26" s="12">
        <f>IF(T23&lt;0,-T23,-MIN(T23,S51))</f>
        <v/>
      </c>
      <c r="U26" s="12">
        <f>IF(U23&lt;0,-U23,-MIN(U23,T51))</f>
        <v/>
      </c>
      <c r="V26" s="12">
        <f>IF(V23&lt;0,-V23,-MIN(V23,U51))</f>
        <v/>
      </c>
    </row>
    <row r="27">
      <c r="A27" s="4" t="inlineStr">
        <is>
          <t>Cash Flow After Revolver</t>
        </is>
      </c>
      <c r="B27" s="12" t="n">
        <v>0</v>
      </c>
      <c r="C27" s="12">
        <f>C23+C26</f>
        <v/>
      </c>
      <c r="D27" s="12">
        <f>D23+D26</f>
        <v/>
      </c>
      <c r="E27" s="12">
        <f>E23+E26</f>
        <v/>
      </c>
      <c r="F27" s="12">
        <f>F23+F26</f>
        <v/>
      </c>
      <c r="G27" s="12">
        <f>G23+G26</f>
        <v/>
      </c>
      <c r="H27" s="12">
        <f>H23+H26</f>
        <v/>
      </c>
      <c r="I27" s="12">
        <f>I23+I26</f>
        <v/>
      </c>
      <c r="J27" s="12">
        <f>J23+J26</f>
        <v/>
      </c>
      <c r="K27" s="12">
        <f>K23+K26</f>
        <v/>
      </c>
      <c r="L27" s="12">
        <f>L23+L26</f>
        <v/>
      </c>
      <c r="M27" s="12">
        <f>M23+M26</f>
        <v/>
      </c>
      <c r="N27" s="12">
        <f>N23+N26</f>
        <v/>
      </c>
      <c r="O27" s="12">
        <f>O23+O26</f>
        <v/>
      </c>
      <c r="P27" s="12">
        <f>P23+P26</f>
        <v/>
      </c>
      <c r="Q27" s="12">
        <f>Q23+Q26</f>
        <v/>
      </c>
      <c r="R27" s="12">
        <f>R23+R26</f>
        <v/>
      </c>
      <c r="S27" s="12">
        <f>S23+S26</f>
        <v/>
      </c>
      <c r="T27" s="12">
        <f>T23+T26</f>
        <v/>
      </c>
      <c r="U27" s="12">
        <f>U23+U26</f>
        <v/>
      </c>
      <c r="V27" s="12">
        <f>V23+V26</f>
        <v/>
      </c>
    </row>
    <row r="29">
      <c r="A29" s="4" t="inlineStr">
        <is>
          <t>Cash Flow Available for ECF Sweep</t>
        </is>
      </c>
      <c r="B29" s="12" t="n">
        <v>0</v>
      </c>
      <c r="C29" s="12">
        <f>MAX(C27,0)*'Assumptions'!$B$27</f>
        <v/>
      </c>
      <c r="D29" s="12">
        <f>MAX(D27,0)*'Assumptions'!$B$27</f>
        <v/>
      </c>
      <c r="E29" s="12">
        <f>MAX(E27,0)*'Assumptions'!$B$27</f>
        <v/>
      </c>
      <c r="F29" s="12">
        <f>MAX(F27,0)*'Assumptions'!$B$27</f>
        <v/>
      </c>
      <c r="G29" s="12">
        <f>MAX(G27,0)*'Assumptions'!$B$27</f>
        <v/>
      </c>
      <c r="H29" s="12">
        <f>MAX(H27,0)*'Assumptions'!$B$27</f>
        <v/>
      </c>
      <c r="I29" s="12">
        <f>MAX(I27,0)*'Assumptions'!$B$27</f>
        <v/>
      </c>
      <c r="J29" s="12">
        <f>MAX(J27,0)*'Assumptions'!$B$27</f>
        <v/>
      </c>
      <c r="K29" s="12">
        <f>MAX(K27,0)*'Assumptions'!$B$27</f>
        <v/>
      </c>
      <c r="L29" s="12">
        <f>MAX(L27,0)*'Assumptions'!$B$27</f>
        <v/>
      </c>
      <c r="M29" s="12">
        <f>MAX(M27,0)*'Assumptions'!$B$27</f>
        <v/>
      </c>
      <c r="N29" s="12">
        <f>MAX(N27,0)*'Assumptions'!$B$27</f>
        <v/>
      </c>
      <c r="O29" s="12">
        <f>MAX(O27,0)*'Assumptions'!$B$27</f>
        <v/>
      </c>
      <c r="P29" s="12">
        <f>MAX(P27,0)*'Assumptions'!$B$27</f>
        <v/>
      </c>
      <c r="Q29" s="12">
        <f>MAX(Q27,0)*'Assumptions'!$B$27</f>
        <v/>
      </c>
      <c r="R29" s="12">
        <f>MAX(R27,0)*'Assumptions'!$B$27</f>
        <v/>
      </c>
      <c r="S29" s="12">
        <f>MAX(S27,0)*'Assumptions'!$B$27</f>
        <v/>
      </c>
      <c r="T29" s="12">
        <f>MAX(T27,0)*'Assumptions'!$B$27</f>
        <v/>
      </c>
      <c r="U29" s="12">
        <f>MAX(U27,0)*'Assumptions'!$B$27</f>
        <v/>
      </c>
      <c r="V29" s="12">
        <f>MAX(V27,0)*'Assumptions'!$B$27</f>
        <v/>
      </c>
    </row>
    <row r="31">
      <c r="A31" s="3" t="inlineStr">
        <is>
          <t>Term Loan A</t>
        </is>
      </c>
    </row>
    <row r="32">
      <c r="A32" s="4" t="inlineStr">
        <is>
          <t>Beginning Balance</t>
        </is>
      </c>
      <c r="B32" s="12" t="n">
        <v>0</v>
      </c>
      <c r="C32" s="12">
        <f>B35</f>
        <v/>
      </c>
      <c r="D32" s="12">
        <f>C35</f>
        <v/>
      </c>
      <c r="E32" s="12">
        <f>D35</f>
        <v/>
      </c>
      <c r="F32" s="12">
        <f>E35</f>
        <v/>
      </c>
      <c r="G32" s="12">
        <f>F35</f>
        <v/>
      </c>
      <c r="H32" s="12">
        <f>G35</f>
        <v/>
      </c>
      <c r="I32" s="12">
        <f>H35</f>
        <v/>
      </c>
      <c r="J32" s="12">
        <f>I35</f>
        <v/>
      </c>
      <c r="K32" s="12">
        <f>J35</f>
        <v/>
      </c>
      <c r="L32" s="12">
        <f>K35</f>
        <v/>
      </c>
      <c r="M32" s="12">
        <f>L35</f>
        <v/>
      </c>
      <c r="N32" s="12">
        <f>M35</f>
        <v/>
      </c>
      <c r="O32" s="12">
        <f>N35</f>
        <v/>
      </c>
      <c r="P32" s="12">
        <f>O35</f>
        <v/>
      </c>
      <c r="Q32" s="12">
        <f>P35</f>
        <v/>
      </c>
      <c r="R32" s="12">
        <f>Q35</f>
        <v/>
      </c>
      <c r="S32" s="12">
        <f>R35</f>
        <v/>
      </c>
      <c r="T32" s="12">
        <f>S35</f>
        <v/>
      </c>
      <c r="U32" s="12">
        <f>T35</f>
        <v/>
      </c>
      <c r="V32" s="12">
        <f>U35</f>
        <v/>
      </c>
    </row>
    <row r="33">
      <c r="A33" s="4" t="inlineStr">
        <is>
          <t>Mandatory Amortization</t>
        </is>
      </c>
      <c r="B33" s="12" t="n">
        <v>0</v>
      </c>
      <c r="C33" s="12">
        <f>C19</f>
        <v/>
      </c>
      <c r="D33" s="12">
        <f>D19</f>
        <v/>
      </c>
      <c r="E33" s="12">
        <f>E19</f>
        <v/>
      </c>
      <c r="F33" s="12">
        <f>F19</f>
        <v/>
      </c>
      <c r="G33" s="12">
        <f>G19</f>
        <v/>
      </c>
      <c r="H33" s="12">
        <f>H19</f>
        <v/>
      </c>
      <c r="I33" s="12">
        <f>I19</f>
        <v/>
      </c>
      <c r="J33" s="12">
        <f>J19</f>
        <v/>
      </c>
      <c r="K33" s="12">
        <f>K19</f>
        <v/>
      </c>
      <c r="L33" s="12">
        <f>L19</f>
        <v/>
      </c>
      <c r="M33" s="12">
        <f>M19</f>
        <v/>
      </c>
      <c r="N33" s="12">
        <f>N19</f>
        <v/>
      </c>
      <c r="O33" s="12">
        <f>O19</f>
        <v/>
      </c>
      <c r="P33" s="12">
        <f>P19</f>
        <v/>
      </c>
      <c r="Q33" s="12">
        <f>Q19</f>
        <v/>
      </c>
      <c r="R33" s="12">
        <f>R19</f>
        <v/>
      </c>
      <c r="S33" s="12">
        <f>S19</f>
        <v/>
      </c>
      <c r="T33" s="12">
        <f>T19</f>
        <v/>
      </c>
      <c r="U33" s="12">
        <f>U19</f>
        <v/>
      </c>
      <c r="V33" s="12">
        <f>V19</f>
        <v/>
      </c>
    </row>
    <row r="34">
      <c r="A34" s="4" t="inlineStr">
        <is>
          <t>Optional (ECF) Sweep</t>
        </is>
      </c>
      <c r="B34" s="12" t="n">
        <v>0</v>
      </c>
      <c r="C34" s="12">
        <f>-MIN(MAX(C29,0),C32+C33)</f>
        <v/>
      </c>
      <c r="D34" s="12">
        <f>-MIN(MAX(D29,0),D32+D33)</f>
        <v/>
      </c>
      <c r="E34" s="12">
        <f>-MIN(MAX(E29,0),E32+E33)</f>
        <v/>
      </c>
      <c r="F34" s="12">
        <f>-MIN(MAX(F29,0),F32+F33)</f>
        <v/>
      </c>
      <c r="G34" s="12">
        <f>-MIN(MAX(G29,0),G32+G33)</f>
        <v/>
      </c>
      <c r="H34" s="12">
        <f>-MIN(MAX(H29,0),H32+H33)</f>
        <v/>
      </c>
      <c r="I34" s="12">
        <f>-MIN(MAX(I29,0),I32+I33)</f>
        <v/>
      </c>
      <c r="J34" s="12">
        <f>-MIN(MAX(J29,0),J32+J33)</f>
        <v/>
      </c>
      <c r="K34" s="12">
        <f>-MIN(MAX(K29,0),K32+K33)</f>
        <v/>
      </c>
      <c r="L34" s="12">
        <f>-MIN(MAX(L29,0),L32+L33)</f>
        <v/>
      </c>
      <c r="M34" s="12">
        <f>-MIN(MAX(M29,0),M32+M33)</f>
        <v/>
      </c>
      <c r="N34" s="12">
        <f>-MIN(MAX(N29,0),N32+N33)</f>
        <v/>
      </c>
      <c r="O34" s="12">
        <f>-MIN(MAX(O29,0),O32+O33)</f>
        <v/>
      </c>
      <c r="P34" s="12">
        <f>-MIN(MAX(P29,0),P32+P33)</f>
        <v/>
      </c>
      <c r="Q34" s="12">
        <f>-MIN(MAX(Q29,0),Q32+Q33)</f>
        <v/>
      </c>
      <c r="R34" s="12">
        <f>-MIN(MAX(R29,0),R32+R33)</f>
        <v/>
      </c>
      <c r="S34" s="12">
        <f>-MIN(MAX(S29,0),S32+S33)</f>
        <v/>
      </c>
      <c r="T34" s="12">
        <f>-MIN(MAX(T29,0),T32+T33)</f>
        <v/>
      </c>
      <c r="U34" s="12">
        <f>-MIN(MAX(U29,0),U32+U33)</f>
        <v/>
      </c>
      <c r="V34" s="12">
        <f>-MIN(MAX(V29,0),V32+V33)</f>
        <v/>
      </c>
    </row>
    <row r="35">
      <c r="A35" s="10" t="inlineStr">
        <is>
          <t>Ending Balance</t>
        </is>
      </c>
      <c r="B35" s="11">
        <f>'Sources &amp; Uses'!$B$12</f>
        <v/>
      </c>
      <c r="C35" s="11">
        <f>C32+C33+C34</f>
        <v/>
      </c>
      <c r="D35" s="11">
        <f>D32+D33+D34</f>
        <v/>
      </c>
      <c r="E35" s="11">
        <f>E32+E33+E34</f>
        <v/>
      </c>
      <c r="F35" s="11">
        <f>F32+F33+F34</f>
        <v/>
      </c>
      <c r="G35" s="11">
        <f>G32+G33+G34</f>
        <v/>
      </c>
      <c r="H35" s="11">
        <f>H32+H33+H34</f>
        <v/>
      </c>
      <c r="I35" s="11">
        <f>I32+I33+I34</f>
        <v/>
      </c>
      <c r="J35" s="11">
        <f>J32+J33+J34</f>
        <v/>
      </c>
      <c r="K35" s="11">
        <f>K32+K33+K34</f>
        <v/>
      </c>
      <c r="L35" s="11">
        <f>L32+L33+L34</f>
        <v/>
      </c>
      <c r="M35" s="11">
        <f>M32+M33+M34</f>
        <v/>
      </c>
      <c r="N35" s="11">
        <f>N32+N33+N34</f>
        <v/>
      </c>
      <c r="O35" s="11">
        <f>O32+O33+O34</f>
        <v/>
      </c>
      <c r="P35" s="11">
        <f>P32+P33+P34</f>
        <v/>
      </c>
      <c r="Q35" s="11">
        <f>Q32+Q33+Q34</f>
        <v/>
      </c>
      <c r="R35" s="11">
        <f>R32+R33+R34</f>
        <v/>
      </c>
      <c r="S35" s="11">
        <f>S32+S33+S34</f>
        <v/>
      </c>
      <c r="T35" s="11">
        <f>T32+T33+T34</f>
        <v/>
      </c>
      <c r="U35" s="11">
        <f>U32+U33+U34</f>
        <v/>
      </c>
      <c r="V35" s="11">
        <f>V32+V33+V34</f>
        <v/>
      </c>
    </row>
    <row r="37">
      <c r="A37" s="3" t="inlineStr">
        <is>
          <t>Term Loan B</t>
        </is>
      </c>
    </row>
    <row r="38">
      <c r="A38" s="4" t="inlineStr">
        <is>
          <t>Beginning Balance</t>
        </is>
      </c>
      <c r="B38" s="12" t="n">
        <v>0</v>
      </c>
      <c r="C38" s="12">
        <f>B41</f>
        <v/>
      </c>
      <c r="D38" s="12">
        <f>C41</f>
        <v/>
      </c>
      <c r="E38" s="12">
        <f>D41</f>
        <v/>
      </c>
      <c r="F38" s="12">
        <f>E41</f>
        <v/>
      </c>
      <c r="G38" s="12">
        <f>F41</f>
        <v/>
      </c>
      <c r="H38" s="12">
        <f>G41</f>
        <v/>
      </c>
      <c r="I38" s="12">
        <f>H41</f>
        <v/>
      </c>
      <c r="J38" s="12">
        <f>I41</f>
        <v/>
      </c>
      <c r="K38" s="12">
        <f>J41</f>
        <v/>
      </c>
      <c r="L38" s="12">
        <f>K41</f>
        <v/>
      </c>
      <c r="M38" s="12">
        <f>L41</f>
        <v/>
      </c>
      <c r="N38" s="12">
        <f>M41</f>
        <v/>
      </c>
      <c r="O38" s="12">
        <f>N41</f>
        <v/>
      </c>
      <c r="P38" s="12">
        <f>O41</f>
        <v/>
      </c>
      <c r="Q38" s="12">
        <f>P41</f>
        <v/>
      </c>
      <c r="R38" s="12">
        <f>Q41</f>
        <v/>
      </c>
      <c r="S38" s="12">
        <f>R41</f>
        <v/>
      </c>
      <c r="T38" s="12">
        <f>S41</f>
        <v/>
      </c>
      <c r="U38" s="12">
        <f>T41</f>
        <v/>
      </c>
      <c r="V38" s="12">
        <f>U41</f>
        <v/>
      </c>
    </row>
    <row r="39">
      <c r="A39" s="4" t="inlineStr">
        <is>
          <t>Mandatory Amortization</t>
        </is>
      </c>
      <c r="B39" s="12" t="n">
        <v>0</v>
      </c>
      <c r="C39" s="12">
        <f>C20</f>
        <v/>
      </c>
      <c r="D39" s="12">
        <f>D20</f>
        <v/>
      </c>
      <c r="E39" s="12">
        <f>E20</f>
        <v/>
      </c>
      <c r="F39" s="12">
        <f>F20</f>
        <v/>
      </c>
      <c r="G39" s="12">
        <f>G20</f>
        <v/>
      </c>
      <c r="H39" s="12">
        <f>H20</f>
        <v/>
      </c>
      <c r="I39" s="12">
        <f>I20</f>
        <v/>
      </c>
      <c r="J39" s="12">
        <f>J20</f>
        <v/>
      </c>
      <c r="K39" s="12">
        <f>K20</f>
        <v/>
      </c>
      <c r="L39" s="12">
        <f>L20</f>
        <v/>
      </c>
      <c r="M39" s="12">
        <f>M20</f>
        <v/>
      </c>
      <c r="N39" s="12">
        <f>N20</f>
        <v/>
      </c>
      <c r="O39" s="12">
        <f>O20</f>
        <v/>
      </c>
      <c r="P39" s="12">
        <f>P20</f>
        <v/>
      </c>
      <c r="Q39" s="12">
        <f>Q20</f>
        <v/>
      </c>
      <c r="R39" s="12">
        <f>R20</f>
        <v/>
      </c>
      <c r="S39" s="12">
        <f>S20</f>
        <v/>
      </c>
      <c r="T39" s="12">
        <f>T20</f>
        <v/>
      </c>
      <c r="U39" s="12">
        <f>U20</f>
        <v/>
      </c>
      <c r="V39" s="12">
        <f>V20</f>
        <v/>
      </c>
    </row>
    <row r="40">
      <c r="A40" s="4" t="inlineStr">
        <is>
          <t>Optional (ECF) Sweep (after TLA repaid)</t>
        </is>
      </c>
      <c r="B40" s="12" t="n">
        <v>0</v>
      </c>
      <c r="C40" s="12">
        <f>-MIN(MAX(C29+C34,0),C38+C39)</f>
        <v/>
      </c>
      <c r="D40" s="12">
        <f>-MIN(MAX(D29+D34,0),D38+D39)</f>
        <v/>
      </c>
      <c r="E40" s="12">
        <f>-MIN(MAX(E29+E34,0),E38+E39)</f>
        <v/>
      </c>
      <c r="F40" s="12">
        <f>-MIN(MAX(F29+F34,0),F38+F39)</f>
        <v/>
      </c>
      <c r="G40" s="12">
        <f>-MIN(MAX(G29+G34,0),G38+G39)</f>
        <v/>
      </c>
      <c r="H40" s="12">
        <f>-MIN(MAX(H29+H34,0),H38+H39)</f>
        <v/>
      </c>
      <c r="I40" s="12">
        <f>-MIN(MAX(I29+I34,0),I38+I39)</f>
        <v/>
      </c>
      <c r="J40" s="12">
        <f>-MIN(MAX(J29+J34,0),J38+J39)</f>
        <v/>
      </c>
      <c r="K40" s="12">
        <f>-MIN(MAX(K29+K34,0),K38+K39)</f>
        <v/>
      </c>
      <c r="L40" s="12">
        <f>-MIN(MAX(L29+L34,0),L38+L39)</f>
        <v/>
      </c>
      <c r="M40" s="12">
        <f>-MIN(MAX(M29+M34,0),M38+M39)</f>
        <v/>
      </c>
      <c r="N40" s="12">
        <f>-MIN(MAX(N29+N34,0),N38+N39)</f>
        <v/>
      </c>
      <c r="O40" s="12">
        <f>-MIN(MAX(O29+O34,0),O38+O39)</f>
        <v/>
      </c>
      <c r="P40" s="12">
        <f>-MIN(MAX(P29+P34,0),P38+P39)</f>
        <v/>
      </c>
      <c r="Q40" s="12">
        <f>-MIN(MAX(Q29+Q34,0),Q38+Q39)</f>
        <v/>
      </c>
      <c r="R40" s="12">
        <f>-MIN(MAX(R29+R34,0),R38+R39)</f>
        <v/>
      </c>
      <c r="S40" s="12">
        <f>-MIN(MAX(S29+S34,0),S38+S39)</f>
        <v/>
      </c>
      <c r="T40" s="12">
        <f>-MIN(MAX(T29+T34,0),T38+T39)</f>
        <v/>
      </c>
      <c r="U40" s="12">
        <f>-MIN(MAX(U29+U34,0),U38+U39)</f>
        <v/>
      </c>
      <c r="V40" s="12">
        <f>-MIN(MAX(V29+V34,0),V38+V39)</f>
        <v/>
      </c>
    </row>
    <row r="41">
      <c r="A41" s="10" t="inlineStr">
        <is>
          <t>Ending Balance</t>
        </is>
      </c>
      <c r="B41" s="11">
        <f>'Sources &amp; Uses'!$B$13</f>
        <v/>
      </c>
      <c r="C41" s="11">
        <f>C38+C39+C40</f>
        <v/>
      </c>
      <c r="D41" s="11">
        <f>D38+D39+D40</f>
        <v/>
      </c>
      <c r="E41" s="11">
        <f>E38+E39+E40</f>
        <v/>
      </c>
      <c r="F41" s="11">
        <f>F38+F39+F40</f>
        <v/>
      </c>
      <c r="G41" s="11">
        <f>G38+G39+G40</f>
        <v/>
      </c>
      <c r="H41" s="11">
        <f>H38+H39+H40</f>
        <v/>
      </c>
      <c r="I41" s="11">
        <f>I38+I39+I40</f>
        <v/>
      </c>
      <c r="J41" s="11">
        <f>J38+J39+J40</f>
        <v/>
      </c>
      <c r="K41" s="11">
        <f>K38+K39+K40</f>
        <v/>
      </c>
      <c r="L41" s="11">
        <f>L38+L39+L40</f>
        <v/>
      </c>
      <c r="M41" s="11">
        <f>M38+M39+M40</f>
        <v/>
      </c>
      <c r="N41" s="11">
        <f>N38+N39+N40</f>
        <v/>
      </c>
      <c r="O41" s="11">
        <f>O38+O39+O40</f>
        <v/>
      </c>
      <c r="P41" s="11">
        <f>P38+P39+P40</f>
        <v/>
      </c>
      <c r="Q41" s="11">
        <f>Q38+Q39+Q40</f>
        <v/>
      </c>
      <c r="R41" s="11">
        <f>R38+R39+R40</f>
        <v/>
      </c>
      <c r="S41" s="11">
        <f>S38+S39+S40</f>
        <v/>
      </c>
      <c r="T41" s="11">
        <f>T38+T39+T40</f>
        <v/>
      </c>
      <c r="U41" s="11">
        <f>U38+U39+U40</f>
        <v/>
      </c>
      <c r="V41" s="11">
        <f>V38+V39+V40</f>
        <v/>
      </c>
    </row>
    <row r="43">
      <c r="A43" s="3" t="inlineStr">
        <is>
          <t>Mezzanine / PIK Notes (not swept; repaid at exit)</t>
        </is>
      </c>
    </row>
    <row r="44">
      <c r="A44" s="4" t="inlineStr">
        <is>
          <t>Beginning Balance</t>
        </is>
      </c>
      <c r="B44" s="12" t="n">
        <v>0</v>
      </c>
      <c r="C44" s="12">
        <f>B46</f>
        <v/>
      </c>
      <c r="D44" s="12">
        <f>C46</f>
        <v/>
      </c>
      <c r="E44" s="12">
        <f>D46</f>
        <v/>
      </c>
      <c r="F44" s="12">
        <f>E46</f>
        <v/>
      </c>
      <c r="G44" s="12">
        <f>F46</f>
        <v/>
      </c>
      <c r="H44" s="12">
        <f>G46</f>
        <v/>
      </c>
      <c r="I44" s="12">
        <f>H46</f>
        <v/>
      </c>
      <c r="J44" s="12">
        <f>I46</f>
        <v/>
      </c>
      <c r="K44" s="12">
        <f>J46</f>
        <v/>
      </c>
      <c r="L44" s="12">
        <f>K46</f>
        <v/>
      </c>
      <c r="M44" s="12">
        <f>L46</f>
        <v/>
      </c>
      <c r="N44" s="12">
        <f>M46</f>
        <v/>
      </c>
      <c r="O44" s="12">
        <f>N46</f>
        <v/>
      </c>
      <c r="P44" s="12">
        <f>O46</f>
        <v/>
      </c>
      <c r="Q44" s="12">
        <f>P46</f>
        <v/>
      </c>
      <c r="R44" s="12">
        <f>Q46</f>
        <v/>
      </c>
      <c r="S44" s="12">
        <f>R46</f>
        <v/>
      </c>
      <c r="T44" s="12">
        <f>S46</f>
        <v/>
      </c>
      <c r="U44" s="12">
        <f>T46</f>
        <v/>
      </c>
      <c r="V44" s="12">
        <f>U46</f>
        <v/>
      </c>
    </row>
    <row r="45">
      <c r="A45" s="4" t="inlineStr">
        <is>
          <t>PIK Accrual (+)</t>
        </is>
      </c>
      <c r="B45" s="12" t="n">
        <v>0</v>
      </c>
      <c r="C45" s="12">
        <f>C14</f>
        <v/>
      </c>
      <c r="D45" s="12">
        <f>D14</f>
        <v/>
      </c>
      <c r="E45" s="12">
        <f>E14</f>
        <v/>
      </c>
      <c r="F45" s="12">
        <f>F14</f>
        <v/>
      </c>
      <c r="G45" s="12">
        <f>G14</f>
        <v/>
      </c>
      <c r="H45" s="12">
        <f>H14</f>
        <v/>
      </c>
      <c r="I45" s="12">
        <f>I14</f>
        <v/>
      </c>
      <c r="J45" s="12">
        <f>J14</f>
        <v/>
      </c>
      <c r="K45" s="12">
        <f>K14</f>
        <v/>
      </c>
      <c r="L45" s="12">
        <f>L14</f>
        <v/>
      </c>
      <c r="M45" s="12">
        <f>M14</f>
        <v/>
      </c>
      <c r="N45" s="12">
        <f>N14</f>
        <v/>
      </c>
      <c r="O45" s="12">
        <f>O14</f>
        <v/>
      </c>
      <c r="P45" s="12">
        <f>P14</f>
        <v/>
      </c>
      <c r="Q45" s="12">
        <f>Q14</f>
        <v/>
      </c>
      <c r="R45" s="12">
        <f>R14</f>
        <v/>
      </c>
      <c r="S45" s="12">
        <f>S14</f>
        <v/>
      </c>
      <c r="T45" s="12">
        <f>T14</f>
        <v/>
      </c>
      <c r="U45" s="12">
        <f>U14</f>
        <v/>
      </c>
      <c r="V45" s="12">
        <f>V14</f>
        <v/>
      </c>
    </row>
    <row r="46">
      <c r="A46" s="10" t="inlineStr">
        <is>
          <t>Ending Balance</t>
        </is>
      </c>
      <c r="B46" s="11">
        <f>'Sources &amp; Uses'!$B$14</f>
        <v/>
      </c>
      <c r="C46" s="11">
        <f>C44+C45</f>
        <v/>
      </c>
      <c r="D46" s="11">
        <f>D44+D45</f>
        <v/>
      </c>
      <c r="E46" s="11">
        <f>E44+E45</f>
        <v/>
      </c>
      <c r="F46" s="11">
        <f>F44+F45</f>
        <v/>
      </c>
      <c r="G46" s="11">
        <f>G44+G45</f>
        <v/>
      </c>
      <c r="H46" s="11">
        <f>H44+H45</f>
        <v/>
      </c>
      <c r="I46" s="11">
        <f>I44+I45</f>
        <v/>
      </c>
      <c r="J46" s="11">
        <f>J44+J45</f>
        <v/>
      </c>
      <c r="K46" s="11">
        <f>K44+K45</f>
        <v/>
      </c>
      <c r="L46" s="11">
        <f>L44+L45</f>
        <v/>
      </c>
      <c r="M46" s="11">
        <f>M44+M45</f>
        <v/>
      </c>
      <c r="N46" s="11">
        <f>N44+N45</f>
        <v/>
      </c>
      <c r="O46" s="11">
        <f>O44+O45</f>
        <v/>
      </c>
      <c r="P46" s="11">
        <f>P44+P45</f>
        <v/>
      </c>
      <c r="Q46" s="11">
        <f>Q44+Q45</f>
        <v/>
      </c>
      <c r="R46" s="11">
        <f>R44+R45</f>
        <v/>
      </c>
      <c r="S46" s="11">
        <f>S44+S45</f>
        <v/>
      </c>
      <c r="T46" s="11">
        <f>T44+T45</f>
        <v/>
      </c>
      <c r="U46" s="11">
        <f>U44+U45</f>
        <v/>
      </c>
      <c r="V46" s="11">
        <f>V44+V45</f>
        <v/>
      </c>
    </row>
    <row r="48">
      <c r="A48" s="3" t="inlineStr">
        <is>
          <t>Revolving Credit Facility (RCF)</t>
        </is>
      </c>
    </row>
    <row r="49">
      <c r="A49" s="4" t="inlineStr">
        <is>
          <t>Beginning Balance</t>
        </is>
      </c>
      <c r="B49" s="12" t="n">
        <v>0</v>
      </c>
      <c r="C49" s="12">
        <f>B51</f>
        <v/>
      </c>
      <c r="D49" s="12">
        <f>C51</f>
        <v/>
      </c>
      <c r="E49" s="12">
        <f>D51</f>
        <v/>
      </c>
      <c r="F49" s="12">
        <f>E51</f>
        <v/>
      </c>
      <c r="G49" s="12">
        <f>F51</f>
        <v/>
      </c>
      <c r="H49" s="12">
        <f>G51</f>
        <v/>
      </c>
      <c r="I49" s="12">
        <f>H51</f>
        <v/>
      </c>
      <c r="J49" s="12">
        <f>I51</f>
        <v/>
      </c>
      <c r="K49" s="12">
        <f>J51</f>
        <v/>
      </c>
      <c r="L49" s="12">
        <f>K51</f>
        <v/>
      </c>
      <c r="M49" s="12">
        <f>L51</f>
        <v/>
      </c>
      <c r="N49" s="12">
        <f>M51</f>
        <v/>
      </c>
      <c r="O49" s="12">
        <f>N51</f>
        <v/>
      </c>
      <c r="P49" s="12">
        <f>O51</f>
        <v/>
      </c>
      <c r="Q49" s="12">
        <f>P51</f>
        <v/>
      </c>
      <c r="R49" s="12">
        <f>Q51</f>
        <v/>
      </c>
      <c r="S49" s="12">
        <f>R51</f>
        <v/>
      </c>
      <c r="T49" s="12">
        <f>S51</f>
        <v/>
      </c>
      <c r="U49" s="12">
        <f>T51</f>
        <v/>
      </c>
      <c r="V49" s="12">
        <f>U51</f>
        <v/>
      </c>
    </row>
    <row r="50">
      <c r="A50" s="4" t="inlineStr">
        <is>
          <t>Draw / (Paydown)</t>
        </is>
      </c>
      <c r="B50" s="12">
        <f>'Sources &amp; Uses'!$B$15</f>
        <v/>
      </c>
      <c r="C50" s="12">
        <f>C26</f>
        <v/>
      </c>
      <c r="D50" s="12">
        <f>D26</f>
        <v/>
      </c>
      <c r="E50" s="12">
        <f>E26</f>
        <v/>
      </c>
      <c r="F50" s="12">
        <f>F26</f>
        <v/>
      </c>
      <c r="G50" s="12">
        <f>G26</f>
        <v/>
      </c>
      <c r="H50" s="12">
        <f>H26</f>
        <v/>
      </c>
      <c r="I50" s="12">
        <f>I26</f>
        <v/>
      </c>
      <c r="J50" s="12">
        <f>J26</f>
        <v/>
      </c>
      <c r="K50" s="12">
        <f>K26</f>
        <v/>
      </c>
      <c r="L50" s="12">
        <f>L26</f>
        <v/>
      </c>
      <c r="M50" s="12">
        <f>M26</f>
        <v/>
      </c>
      <c r="N50" s="12">
        <f>N26</f>
        <v/>
      </c>
      <c r="O50" s="12">
        <f>O26</f>
        <v/>
      </c>
      <c r="P50" s="12">
        <f>P26</f>
        <v/>
      </c>
      <c r="Q50" s="12">
        <f>Q26</f>
        <v/>
      </c>
      <c r="R50" s="12">
        <f>R26</f>
        <v/>
      </c>
      <c r="S50" s="12">
        <f>S26</f>
        <v/>
      </c>
      <c r="T50" s="12">
        <f>T26</f>
        <v/>
      </c>
      <c r="U50" s="12">
        <f>U26</f>
        <v/>
      </c>
      <c r="V50" s="12">
        <f>V26</f>
        <v/>
      </c>
    </row>
    <row r="51">
      <c r="A51" s="10" t="inlineStr">
        <is>
          <t>Ending Balance</t>
        </is>
      </c>
      <c r="B51" s="11">
        <f>MAX(B49+B50,0)</f>
        <v/>
      </c>
      <c r="C51" s="11">
        <f>MAX(C49+C50,0)</f>
        <v/>
      </c>
      <c r="D51" s="11">
        <f>MAX(D49+D50,0)</f>
        <v/>
      </c>
      <c r="E51" s="11">
        <f>MAX(E49+E50,0)</f>
        <v/>
      </c>
      <c r="F51" s="11">
        <f>MAX(F49+F50,0)</f>
        <v/>
      </c>
      <c r="G51" s="11">
        <f>MAX(G49+G50,0)</f>
        <v/>
      </c>
      <c r="H51" s="11">
        <f>MAX(H49+H50,0)</f>
        <v/>
      </c>
      <c r="I51" s="11">
        <f>MAX(I49+I50,0)</f>
        <v/>
      </c>
      <c r="J51" s="11">
        <f>MAX(J49+J50,0)</f>
        <v/>
      </c>
      <c r="K51" s="11">
        <f>MAX(K49+K50,0)</f>
        <v/>
      </c>
      <c r="L51" s="11">
        <f>MAX(L49+L50,0)</f>
        <v/>
      </c>
      <c r="M51" s="11">
        <f>MAX(M49+M50,0)</f>
        <v/>
      </c>
      <c r="N51" s="11">
        <f>MAX(N49+N50,0)</f>
        <v/>
      </c>
      <c r="O51" s="11">
        <f>MAX(O49+O50,0)</f>
        <v/>
      </c>
      <c r="P51" s="11">
        <f>MAX(P49+P50,0)</f>
        <v/>
      </c>
      <c r="Q51" s="11">
        <f>MAX(Q49+Q50,0)</f>
        <v/>
      </c>
      <c r="R51" s="11">
        <f>MAX(R49+R50,0)</f>
        <v/>
      </c>
      <c r="S51" s="11">
        <f>MAX(S49+S50,0)</f>
        <v/>
      </c>
      <c r="T51" s="11">
        <f>MAX(T49+T50,0)</f>
        <v/>
      </c>
      <c r="U51" s="11">
        <f>MAX(U49+U50,0)</f>
        <v/>
      </c>
      <c r="V51" s="11">
        <f>MAX(V49+V50,0)</f>
        <v/>
      </c>
    </row>
    <row r="53">
      <c r="A53" s="13" t="inlineStr">
        <is>
          <t>Total Debt (Ending)</t>
        </is>
      </c>
      <c r="B53" s="14">
        <f>B35+B41+B46+B51</f>
        <v/>
      </c>
      <c r="C53" s="14">
        <f>C35+C41+C46+C51</f>
        <v/>
      </c>
      <c r="D53" s="14">
        <f>D35+D41+D46+D51</f>
        <v/>
      </c>
      <c r="E53" s="14">
        <f>E35+E41+E46+E51</f>
        <v/>
      </c>
      <c r="F53" s="14">
        <f>F35+F41+F46+F51</f>
        <v/>
      </c>
      <c r="G53" s="14">
        <f>G35+G41+G46+G51</f>
        <v/>
      </c>
      <c r="H53" s="14">
        <f>H35+H41+H46+H51</f>
        <v/>
      </c>
      <c r="I53" s="14">
        <f>I35+I41+I46+I51</f>
        <v/>
      </c>
      <c r="J53" s="14">
        <f>J35+J41+J46+J51</f>
        <v/>
      </c>
      <c r="K53" s="14">
        <f>K35+K41+K46+K51</f>
        <v/>
      </c>
      <c r="L53" s="14">
        <f>L35+L41+L46+L51</f>
        <v/>
      </c>
      <c r="M53" s="14">
        <f>M35+M41+M46+M51</f>
        <v/>
      </c>
      <c r="N53" s="14">
        <f>N35+N41+N46+N51</f>
        <v/>
      </c>
      <c r="O53" s="14">
        <f>O35+O41+O46+O51</f>
        <v/>
      </c>
      <c r="P53" s="14">
        <f>P35+P41+P46+P51</f>
        <v/>
      </c>
      <c r="Q53" s="14">
        <f>Q35+Q41+Q46+Q51</f>
        <v/>
      </c>
      <c r="R53" s="14">
        <f>R35+R41+R46+R51</f>
        <v/>
      </c>
      <c r="S53" s="14">
        <f>S35+S41+S46+S51</f>
        <v/>
      </c>
      <c r="T53" s="14">
        <f>T35+T41+T46+T51</f>
        <v/>
      </c>
      <c r="U53" s="14">
        <f>U35+U41+U46+U51</f>
        <v/>
      </c>
      <c r="V53" s="14">
        <f>V35+V41+V46+V51</f>
        <v/>
      </c>
    </row>
    <row r="54">
      <c r="A54" s="4" t="inlineStr">
        <is>
          <t>Cash Balance</t>
        </is>
      </c>
      <c r="B54" s="12">
        <f>'Assumptions'!$B$26</f>
        <v/>
      </c>
      <c r="C54" s="12">
        <f>B54+MAX(C27,0)*(1-'Assumptions'!$B$27)</f>
        <v/>
      </c>
      <c r="D54" s="12">
        <f>C54+MAX(D27,0)*(1-'Assumptions'!$B$27)</f>
        <v/>
      </c>
      <c r="E54" s="12">
        <f>D54+MAX(E27,0)*(1-'Assumptions'!$B$27)</f>
        <v/>
      </c>
      <c r="F54" s="12">
        <f>E54+MAX(F27,0)*(1-'Assumptions'!$B$27)</f>
        <v/>
      </c>
      <c r="G54" s="12">
        <f>F54+MAX(G27,0)*(1-'Assumptions'!$B$27)</f>
        <v/>
      </c>
      <c r="H54" s="12">
        <f>G54+MAX(H27,0)*(1-'Assumptions'!$B$27)</f>
        <v/>
      </c>
      <c r="I54" s="12">
        <f>H54+MAX(I27,0)*(1-'Assumptions'!$B$27)</f>
        <v/>
      </c>
      <c r="J54" s="12">
        <f>I54+MAX(J27,0)*(1-'Assumptions'!$B$27)</f>
        <v/>
      </c>
      <c r="K54" s="12">
        <f>J54+MAX(K27,0)*(1-'Assumptions'!$B$27)</f>
        <v/>
      </c>
      <c r="L54" s="12">
        <f>K54+MAX(L27,0)*(1-'Assumptions'!$B$27)</f>
        <v/>
      </c>
      <c r="M54" s="12">
        <f>L54+MAX(M27,0)*(1-'Assumptions'!$B$27)</f>
        <v/>
      </c>
      <c r="N54" s="12">
        <f>M54+MAX(N27,0)*(1-'Assumptions'!$B$27)</f>
        <v/>
      </c>
      <c r="O54" s="12">
        <f>N54+MAX(O27,0)*(1-'Assumptions'!$B$27)</f>
        <v/>
      </c>
      <c r="P54" s="12">
        <f>O54+MAX(P27,0)*(1-'Assumptions'!$B$27)</f>
        <v/>
      </c>
      <c r="Q54" s="12">
        <f>P54+MAX(Q27,0)*(1-'Assumptions'!$B$27)</f>
        <v/>
      </c>
      <c r="R54" s="12">
        <f>Q54+MAX(R27,0)*(1-'Assumptions'!$B$27)</f>
        <v/>
      </c>
      <c r="S54" s="12">
        <f>R54+MAX(S27,0)*(1-'Assumptions'!$B$27)</f>
        <v/>
      </c>
      <c r="T54" s="12">
        <f>S54+MAX(T27,0)*(1-'Assumptions'!$B$27)</f>
        <v/>
      </c>
      <c r="U54" s="12">
        <f>T54+MAX(U27,0)*(1-'Assumptions'!$B$27)</f>
        <v/>
      </c>
      <c r="V54" s="12">
        <f>U54+MAX(V27,0)*(1-'Assumptions'!$B$27)</f>
        <v/>
      </c>
    </row>
    <row r="55">
      <c r="A55" s="13" t="inlineStr">
        <is>
          <t>Net Debt</t>
        </is>
      </c>
      <c r="B55" s="14">
        <f>B53-B54</f>
        <v/>
      </c>
      <c r="C55" s="14">
        <f>C53-C54</f>
        <v/>
      </c>
      <c r="D55" s="14">
        <f>D53-D54</f>
        <v/>
      </c>
      <c r="E55" s="14">
        <f>E53-E54</f>
        <v/>
      </c>
      <c r="F55" s="14">
        <f>F53-F54</f>
        <v/>
      </c>
      <c r="G55" s="14">
        <f>G53-G54</f>
        <v/>
      </c>
      <c r="H55" s="14">
        <f>H53-H54</f>
        <v/>
      </c>
      <c r="I55" s="14">
        <f>I53-I54</f>
        <v/>
      </c>
      <c r="J55" s="14">
        <f>J53-J54</f>
        <v/>
      </c>
      <c r="K55" s="14">
        <f>K53-K54</f>
        <v/>
      </c>
      <c r="L55" s="14">
        <f>L53-L54</f>
        <v/>
      </c>
      <c r="M55" s="14">
        <f>M53-M54</f>
        <v/>
      </c>
      <c r="N55" s="14">
        <f>N53-N54</f>
        <v/>
      </c>
      <c r="O55" s="14">
        <f>O53-O54</f>
        <v/>
      </c>
      <c r="P55" s="14">
        <f>P53-P54</f>
        <v/>
      </c>
      <c r="Q55" s="14">
        <f>Q53-Q54</f>
        <v/>
      </c>
      <c r="R55" s="14">
        <f>R53-R54</f>
        <v/>
      </c>
      <c r="S55" s="14">
        <f>S53-S54</f>
        <v/>
      </c>
      <c r="T55" s="14">
        <f>T53-T54</f>
        <v/>
      </c>
      <c r="U55" s="14">
        <f>U53-U54</f>
        <v/>
      </c>
      <c r="V55" s="14">
        <f>V53-V54</f>
        <v/>
      </c>
    </row>
    <row r="57">
      <c r="A57" s="3" t="inlineStr">
        <is>
          <t>Credit Statistics &amp; Covenants</t>
        </is>
      </c>
    </row>
    <row r="58">
      <c r="A58" s="4" t="inlineStr">
        <is>
          <t>LTM EBITDA</t>
        </is>
      </c>
      <c r="B58" s="12" t="n">
        <v>0</v>
      </c>
      <c r="C58" s="12">
        <f>SUM('Operating Model'!C8:'Operating Model'!C8)*4/1</f>
        <v/>
      </c>
      <c r="D58" s="12">
        <f>SUM('Operating Model'!C8:'Operating Model'!D8)*4/2</f>
        <v/>
      </c>
      <c r="E58" s="12">
        <f>SUM('Operating Model'!C8:'Operating Model'!E8)*4/3</f>
        <v/>
      </c>
      <c r="F58" s="12">
        <f>SUM('Operating Model'!C8:'Operating Model'!F8)*4/4</f>
        <v/>
      </c>
      <c r="G58" s="12">
        <f>SUM('Operating Model'!D8:'Operating Model'!G8)*4/4</f>
        <v/>
      </c>
      <c r="H58" s="12">
        <f>SUM('Operating Model'!E8:'Operating Model'!H8)*4/4</f>
        <v/>
      </c>
      <c r="I58" s="12">
        <f>SUM('Operating Model'!F8:'Operating Model'!I8)*4/4</f>
        <v/>
      </c>
      <c r="J58" s="12">
        <f>SUM('Operating Model'!G8:'Operating Model'!J8)*4/4</f>
        <v/>
      </c>
      <c r="K58" s="12">
        <f>SUM('Operating Model'!H8:'Operating Model'!K8)*4/4</f>
        <v/>
      </c>
      <c r="L58" s="12">
        <f>SUM('Operating Model'!I8:'Operating Model'!L8)*4/4</f>
        <v/>
      </c>
      <c r="M58" s="12">
        <f>SUM('Operating Model'!J8:'Operating Model'!M8)*4/4</f>
        <v/>
      </c>
      <c r="N58" s="12">
        <f>SUM('Operating Model'!K8:'Operating Model'!N8)*4/4</f>
        <v/>
      </c>
      <c r="O58" s="12">
        <f>SUM('Operating Model'!L8:'Operating Model'!O8)*4/4</f>
        <v/>
      </c>
      <c r="P58" s="12">
        <f>SUM('Operating Model'!M8:'Operating Model'!P8)*4/4</f>
        <v/>
      </c>
      <c r="Q58" s="12">
        <f>SUM('Operating Model'!N8:'Operating Model'!Q8)*4/4</f>
        <v/>
      </c>
      <c r="R58" s="12">
        <f>SUM('Operating Model'!O8:'Operating Model'!R8)*4/4</f>
        <v/>
      </c>
      <c r="S58" s="12">
        <f>SUM('Operating Model'!P8:'Operating Model'!S8)*4/4</f>
        <v/>
      </c>
      <c r="T58" s="12">
        <f>SUM('Operating Model'!Q8:'Operating Model'!T8)*4/4</f>
        <v/>
      </c>
      <c r="U58" s="12">
        <f>SUM('Operating Model'!R8:'Operating Model'!U8)*4/4</f>
        <v/>
      </c>
      <c r="V58" s="12">
        <f>SUM('Operating Model'!S8:'Operating Model'!V8)*4/4</f>
        <v/>
      </c>
    </row>
    <row r="59">
      <c r="A59" s="4" t="inlineStr">
        <is>
          <t>LTM Cash Interest</t>
        </is>
      </c>
      <c r="B59" s="12" t="n">
        <v>0</v>
      </c>
      <c r="C59" s="12">
        <f>SUM(C15:C15)*4/1</f>
        <v/>
      </c>
      <c r="D59" s="12">
        <f>SUM(C15:D15)*4/2</f>
        <v/>
      </c>
      <c r="E59" s="12">
        <f>SUM(C15:E15)*4/3</f>
        <v/>
      </c>
      <c r="F59" s="12">
        <f>SUM(C15:F15)*4/4</f>
        <v/>
      </c>
      <c r="G59" s="12">
        <f>SUM(D15:G15)*4/4</f>
        <v/>
      </c>
      <c r="H59" s="12">
        <f>SUM(E15:H15)*4/4</f>
        <v/>
      </c>
      <c r="I59" s="12">
        <f>SUM(F15:I15)*4/4</f>
        <v/>
      </c>
      <c r="J59" s="12">
        <f>SUM(G15:J15)*4/4</f>
        <v/>
      </c>
      <c r="K59" s="12">
        <f>SUM(H15:K15)*4/4</f>
        <v/>
      </c>
      <c r="L59" s="12">
        <f>SUM(I15:L15)*4/4</f>
        <v/>
      </c>
      <c r="M59" s="12">
        <f>SUM(J15:M15)*4/4</f>
        <v/>
      </c>
      <c r="N59" s="12">
        <f>SUM(K15:N15)*4/4</f>
        <v/>
      </c>
      <c r="O59" s="12">
        <f>SUM(L15:O15)*4/4</f>
        <v/>
      </c>
      <c r="P59" s="12">
        <f>SUM(M15:P15)*4/4</f>
        <v/>
      </c>
      <c r="Q59" s="12">
        <f>SUM(N15:Q15)*4/4</f>
        <v/>
      </c>
      <c r="R59" s="12">
        <f>SUM(O15:R15)*4/4</f>
        <v/>
      </c>
      <c r="S59" s="12">
        <f>SUM(P15:S15)*4/4</f>
        <v/>
      </c>
      <c r="T59" s="12">
        <f>SUM(Q15:T15)*4/4</f>
        <v/>
      </c>
      <c r="U59" s="12">
        <f>SUM(R15:U15)*4/4</f>
        <v/>
      </c>
      <c r="V59" s="12">
        <f>SUM(S15:V15)*4/4</f>
        <v/>
      </c>
    </row>
    <row r="60">
      <c r="A60" s="4" t="inlineStr">
        <is>
          <t>Senior Secured Net Leverage (x)</t>
        </is>
      </c>
      <c r="B60" s="12" t="n">
        <v>0</v>
      </c>
      <c r="C60" s="15">
        <f>(C35+C41+C51-C54)/C58</f>
        <v/>
      </c>
      <c r="D60" s="15">
        <f>(D35+D41+D51-D54)/D58</f>
        <v/>
      </c>
      <c r="E60" s="15">
        <f>(E35+E41+E51-E54)/E58</f>
        <v/>
      </c>
      <c r="F60" s="15">
        <f>(F35+F41+F51-F54)/F58</f>
        <v/>
      </c>
      <c r="G60" s="15">
        <f>(G35+G41+G51-G54)/G58</f>
        <v/>
      </c>
      <c r="H60" s="15">
        <f>(H35+H41+H51-H54)/H58</f>
        <v/>
      </c>
      <c r="I60" s="15">
        <f>(I35+I41+I51-I54)/I58</f>
        <v/>
      </c>
      <c r="J60" s="15">
        <f>(J35+J41+J51-J54)/J58</f>
        <v/>
      </c>
      <c r="K60" s="15">
        <f>(K35+K41+K51-K54)/K58</f>
        <v/>
      </c>
      <c r="L60" s="15">
        <f>(L35+L41+L51-L54)/L58</f>
        <v/>
      </c>
      <c r="M60" s="15">
        <f>(M35+M41+M51-M54)/M58</f>
        <v/>
      </c>
      <c r="N60" s="15">
        <f>(N35+N41+N51-N54)/N58</f>
        <v/>
      </c>
      <c r="O60" s="15">
        <f>(O35+O41+O51-O54)/O58</f>
        <v/>
      </c>
      <c r="P60" s="15">
        <f>(P35+P41+P51-P54)/P58</f>
        <v/>
      </c>
      <c r="Q60" s="15">
        <f>(Q35+Q41+Q51-Q54)/Q58</f>
        <v/>
      </c>
      <c r="R60" s="15">
        <f>(R35+R41+R51-R54)/R58</f>
        <v/>
      </c>
      <c r="S60" s="15">
        <f>(S35+S41+S51-S54)/S58</f>
        <v/>
      </c>
      <c r="T60" s="15">
        <f>(T35+T41+T51-T54)/T58</f>
        <v/>
      </c>
      <c r="U60" s="15">
        <f>(U35+U41+U51-U54)/U58</f>
        <v/>
      </c>
      <c r="V60" s="15">
        <f>(V35+V41+V51-V54)/V58</f>
        <v/>
      </c>
    </row>
    <row r="61">
      <c r="A61" s="4" t="inlineStr">
        <is>
          <t>Total Net Leverage (x)</t>
        </is>
      </c>
      <c r="B61" s="12" t="n">
        <v>0</v>
      </c>
      <c r="C61" s="15">
        <f>C55/C58</f>
        <v/>
      </c>
      <c r="D61" s="15">
        <f>D55/D58</f>
        <v/>
      </c>
      <c r="E61" s="15">
        <f>E55/E58</f>
        <v/>
      </c>
      <c r="F61" s="15">
        <f>F55/F58</f>
        <v/>
      </c>
      <c r="G61" s="15">
        <f>G55/G58</f>
        <v/>
      </c>
      <c r="H61" s="15">
        <f>H55/H58</f>
        <v/>
      </c>
      <c r="I61" s="15">
        <f>I55/I58</f>
        <v/>
      </c>
      <c r="J61" s="15">
        <f>J55/J58</f>
        <v/>
      </c>
      <c r="K61" s="15">
        <f>K55/K58</f>
        <v/>
      </c>
      <c r="L61" s="15">
        <f>L55/L58</f>
        <v/>
      </c>
      <c r="M61" s="15">
        <f>M55/M58</f>
        <v/>
      </c>
      <c r="N61" s="15">
        <f>N55/N58</f>
        <v/>
      </c>
      <c r="O61" s="15">
        <f>O55/O58</f>
        <v/>
      </c>
      <c r="P61" s="15">
        <f>P55/P58</f>
        <v/>
      </c>
      <c r="Q61" s="15">
        <f>Q55/Q58</f>
        <v/>
      </c>
      <c r="R61" s="15">
        <f>R55/R58</f>
        <v/>
      </c>
      <c r="S61" s="15">
        <f>S55/S58</f>
        <v/>
      </c>
      <c r="T61" s="15">
        <f>T55/T58</f>
        <v/>
      </c>
      <c r="U61" s="15">
        <f>U55/U58</f>
        <v/>
      </c>
      <c r="V61" s="15">
        <f>V55/V58</f>
        <v/>
      </c>
    </row>
    <row r="62">
      <c r="A62" s="4" t="inlineStr">
        <is>
          <t>Interest Coverage (x)</t>
        </is>
      </c>
      <c r="B62" s="12" t="n">
        <v>0</v>
      </c>
      <c r="C62" s="15">
        <f>C58/C59</f>
        <v/>
      </c>
      <c r="D62" s="15">
        <f>D58/D59</f>
        <v/>
      </c>
      <c r="E62" s="15">
        <f>E58/E59</f>
        <v/>
      </c>
      <c r="F62" s="15">
        <f>F58/F59</f>
        <v/>
      </c>
      <c r="G62" s="15">
        <f>G58/G59</f>
        <v/>
      </c>
      <c r="H62" s="15">
        <f>H58/H59</f>
        <v/>
      </c>
      <c r="I62" s="15">
        <f>I58/I59</f>
        <v/>
      </c>
      <c r="J62" s="15">
        <f>J58/J59</f>
        <v/>
      </c>
      <c r="K62" s="15">
        <f>K58/K59</f>
        <v/>
      </c>
      <c r="L62" s="15">
        <f>L58/L59</f>
        <v/>
      </c>
      <c r="M62" s="15">
        <f>M58/M59</f>
        <v/>
      </c>
      <c r="N62" s="15">
        <f>N58/N59</f>
        <v/>
      </c>
      <c r="O62" s="15">
        <f>O58/O59</f>
        <v/>
      </c>
      <c r="P62" s="15">
        <f>P58/P59</f>
        <v/>
      </c>
      <c r="Q62" s="15">
        <f>Q58/Q59</f>
        <v/>
      </c>
      <c r="R62" s="15">
        <f>R58/R59</f>
        <v/>
      </c>
      <c r="S62" s="15">
        <f>S58/S59</f>
        <v/>
      </c>
      <c r="T62" s="15">
        <f>T58/T59</f>
        <v/>
      </c>
      <c r="U62" s="15">
        <f>U58/U59</f>
        <v/>
      </c>
      <c r="V62" s="15">
        <f>V58/V59</f>
        <v/>
      </c>
    </row>
    <row r="63">
      <c r="A63" s="4" t="inlineStr">
        <is>
          <t>Max Senior Secured Leverage Covenant (x)</t>
        </is>
      </c>
      <c r="B63" s="12" t="n">
        <v>0</v>
      </c>
      <c r="C63" s="15">
        <f>MAX('Assumptions'!$B$50-'Assumptions'!$B$51*(C4-1),1)</f>
        <v/>
      </c>
      <c r="D63" s="15">
        <f>MAX('Assumptions'!$B$50-'Assumptions'!$B$51*(D4-1),1)</f>
        <v/>
      </c>
      <c r="E63" s="15">
        <f>MAX('Assumptions'!$B$50-'Assumptions'!$B$51*(E4-1),1)</f>
        <v/>
      </c>
      <c r="F63" s="15">
        <f>MAX('Assumptions'!$B$50-'Assumptions'!$B$51*(F4-1),1)</f>
        <v/>
      </c>
      <c r="G63" s="15">
        <f>MAX('Assumptions'!$B$50-'Assumptions'!$B$51*(G4-1),1)</f>
        <v/>
      </c>
      <c r="H63" s="15">
        <f>MAX('Assumptions'!$B$50-'Assumptions'!$B$51*(H4-1),1)</f>
        <v/>
      </c>
      <c r="I63" s="15">
        <f>MAX('Assumptions'!$B$50-'Assumptions'!$B$51*(I4-1),1)</f>
        <v/>
      </c>
      <c r="J63" s="15">
        <f>MAX('Assumptions'!$B$50-'Assumptions'!$B$51*(J4-1),1)</f>
        <v/>
      </c>
      <c r="K63" s="15">
        <f>MAX('Assumptions'!$B$50-'Assumptions'!$B$51*(K4-1),1)</f>
        <v/>
      </c>
      <c r="L63" s="15">
        <f>MAX('Assumptions'!$B$50-'Assumptions'!$B$51*(L4-1),1)</f>
        <v/>
      </c>
      <c r="M63" s="15">
        <f>MAX('Assumptions'!$B$50-'Assumptions'!$B$51*(M4-1),1)</f>
        <v/>
      </c>
      <c r="N63" s="15">
        <f>MAX('Assumptions'!$B$50-'Assumptions'!$B$51*(N4-1),1)</f>
        <v/>
      </c>
      <c r="O63" s="15">
        <f>MAX('Assumptions'!$B$50-'Assumptions'!$B$51*(O4-1),1)</f>
        <v/>
      </c>
      <c r="P63" s="15">
        <f>MAX('Assumptions'!$B$50-'Assumptions'!$B$51*(P4-1),1)</f>
        <v/>
      </c>
      <c r="Q63" s="15">
        <f>MAX('Assumptions'!$B$50-'Assumptions'!$B$51*(Q4-1),1)</f>
        <v/>
      </c>
      <c r="R63" s="15">
        <f>MAX('Assumptions'!$B$50-'Assumptions'!$B$51*(R4-1),1)</f>
        <v/>
      </c>
      <c r="S63" s="15">
        <f>MAX('Assumptions'!$B$50-'Assumptions'!$B$51*(S4-1),1)</f>
        <v/>
      </c>
      <c r="T63" s="15">
        <f>MAX('Assumptions'!$B$50-'Assumptions'!$B$51*(T4-1),1)</f>
        <v/>
      </c>
      <c r="U63" s="15">
        <f>MAX('Assumptions'!$B$50-'Assumptions'!$B$51*(U4-1),1)</f>
        <v/>
      </c>
      <c r="V63" s="15">
        <f>MAX('Assumptions'!$B$50-'Assumptions'!$B$51*(V4-1),1)</f>
        <v/>
      </c>
    </row>
    <row r="64">
      <c r="A64" s="4" t="inlineStr">
        <is>
          <t>Leverage Covenant Headroom / (Breach)</t>
        </is>
      </c>
      <c r="B64" s="12" t="n">
        <v>0</v>
      </c>
      <c r="C64" s="15">
        <f>C63-C60</f>
        <v/>
      </c>
      <c r="D64" s="15">
        <f>D63-D60</f>
        <v/>
      </c>
      <c r="E64" s="15">
        <f>E63-E60</f>
        <v/>
      </c>
      <c r="F64" s="15">
        <f>F63-F60</f>
        <v/>
      </c>
      <c r="G64" s="15">
        <f>G63-G60</f>
        <v/>
      </c>
      <c r="H64" s="15">
        <f>H63-H60</f>
        <v/>
      </c>
      <c r="I64" s="15">
        <f>I63-I60</f>
        <v/>
      </c>
      <c r="J64" s="15">
        <f>J63-J60</f>
        <v/>
      </c>
      <c r="K64" s="15">
        <f>K63-K60</f>
        <v/>
      </c>
      <c r="L64" s="15">
        <f>L63-L60</f>
        <v/>
      </c>
      <c r="M64" s="15">
        <f>M63-M60</f>
        <v/>
      </c>
      <c r="N64" s="15">
        <f>N63-N60</f>
        <v/>
      </c>
      <c r="O64" s="15">
        <f>O63-O60</f>
        <v/>
      </c>
      <c r="P64" s="15">
        <f>P63-P60</f>
        <v/>
      </c>
      <c r="Q64" s="15">
        <f>Q63-Q60</f>
        <v/>
      </c>
      <c r="R64" s="15">
        <f>R63-R60</f>
        <v/>
      </c>
      <c r="S64" s="15">
        <f>S63-S60</f>
        <v/>
      </c>
      <c r="T64" s="15">
        <f>T63-T60</f>
        <v/>
      </c>
      <c r="U64" s="15">
        <f>U63-U60</f>
        <v/>
      </c>
      <c r="V64" s="15">
        <f>V63-V60</f>
        <v/>
      </c>
    </row>
    <row r="65">
      <c r="A65" s="4" t="inlineStr">
        <is>
          <t>Min Interest Coverage Covenant (x)</t>
        </is>
      </c>
      <c r="B65" s="12" t="n">
        <v>0</v>
      </c>
      <c r="C65" s="15">
        <f>'Assumptions'!$B$52</f>
        <v/>
      </c>
      <c r="D65" s="15">
        <f>'Assumptions'!$B$52</f>
        <v/>
      </c>
      <c r="E65" s="15">
        <f>'Assumptions'!$B$52</f>
        <v/>
      </c>
      <c r="F65" s="15">
        <f>'Assumptions'!$B$52</f>
        <v/>
      </c>
      <c r="G65" s="15">
        <f>'Assumptions'!$B$52</f>
        <v/>
      </c>
      <c r="H65" s="15">
        <f>'Assumptions'!$B$52</f>
        <v/>
      </c>
      <c r="I65" s="15">
        <f>'Assumptions'!$B$52</f>
        <v/>
      </c>
      <c r="J65" s="15">
        <f>'Assumptions'!$B$52</f>
        <v/>
      </c>
      <c r="K65" s="15">
        <f>'Assumptions'!$B$52</f>
        <v/>
      </c>
      <c r="L65" s="15">
        <f>'Assumptions'!$B$52</f>
        <v/>
      </c>
      <c r="M65" s="15">
        <f>'Assumptions'!$B$52</f>
        <v/>
      </c>
      <c r="N65" s="15">
        <f>'Assumptions'!$B$52</f>
        <v/>
      </c>
      <c r="O65" s="15">
        <f>'Assumptions'!$B$52</f>
        <v/>
      </c>
      <c r="P65" s="15">
        <f>'Assumptions'!$B$52</f>
        <v/>
      </c>
      <c r="Q65" s="15">
        <f>'Assumptions'!$B$52</f>
        <v/>
      </c>
      <c r="R65" s="15">
        <f>'Assumptions'!$B$52</f>
        <v/>
      </c>
      <c r="S65" s="15">
        <f>'Assumptions'!$B$52</f>
        <v/>
      </c>
      <c r="T65" s="15">
        <f>'Assumptions'!$B$52</f>
        <v/>
      </c>
      <c r="U65" s="15">
        <f>'Assumptions'!$B$52</f>
        <v/>
      </c>
      <c r="V65" s="15">
        <f>'Assumptions'!$B$52</f>
        <v/>
      </c>
    </row>
    <row r="66">
      <c r="A66" s="4" t="inlineStr">
        <is>
          <t>Coverage Covenant Headroom / (Breach)</t>
        </is>
      </c>
      <c r="B66" s="12" t="n">
        <v>0</v>
      </c>
      <c r="C66" s="15">
        <f>C62-C65</f>
        <v/>
      </c>
      <c r="D66" s="15">
        <f>D62-D65</f>
        <v/>
      </c>
      <c r="E66" s="15">
        <f>E62-E65</f>
        <v/>
      </c>
      <c r="F66" s="15">
        <f>F62-F65</f>
        <v/>
      </c>
      <c r="G66" s="15">
        <f>G62-G65</f>
        <v/>
      </c>
      <c r="H66" s="15">
        <f>H62-H65</f>
        <v/>
      </c>
      <c r="I66" s="15">
        <f>I62-I65</f>
        <v/>
      </c>
      <c r="J66" s="15">
        <f>J62-J65</f>
        <v/>
      </c>
      <c r="K66" s="15">
        <f>K62-K65</f>
        <v/>
      </c>
      <c r="L66" s="15">
        <f>L62-L65</f>
        <v/>
      </c>
      <c r="M66" s="15">
        <f>M62-M65</f>
        <v/>
      </c>
      <c r="N66" s="15">
        <f>N62-N65</f>
        <v/>
      </c>
      <c r="O66" s="15">
        <f>O62-O65</f>
        <v/>
      </c>
      <c r="P66" s="15">
        <f>P62-P65</f>
        <v/>
      </c>
      <c r="Q66" s="15">
        <f>Q62-Q65</f>
        <v/>
      </c>
      <c r="R66" s="15">
        <f>R62-R65</f>
        <v/>
      </c>
      <c r="S66" s="15">
        <f>S62-S65</f>
        <v/>
      </c>
      <c r="T66" s="15">
        <f>T62-T65</f>
        <v/>
      </c>
      <c r="U66" s="15">
        <f>U62-U65</f>
        <v/>
      </c>
      <c r="V66" s="15">
        <f>V62-V65</f>
        <v/>
      </c>
    </row>
    <row r="67">
      <c r="A67" s="10" t="inlineStr">
        <is>
          <t>Covenant Compliance</t>
        </is>
      </c>
      <c r="B67" s="19" t="inlineStr">
        <is>
          <t>N/A</t>
        </is>
      </c>
      <c r="C67" s="21">
        <f>IF(AND(C64&gt;=0,C66&gt;=0),"PASS","BREACH")</f>
        <v/>
      </c>
      <c r="D67" s="21">
        <f>IF(AND(D64&gt;=0,D66&gt;=0),"PASS","BREACH")</f>
        <v/>
      </c>
      <c r="E67" s="21">
        <f>IF(AND(E64&gt;=0,E66&gt;=0),"PASS","BREACH")</f>
        <v/>
      </c>
      <c r="F67" s="21">
        <f>IF(AND(F64&gt;=0,F66&gt;=0),"PASS","BREACH")</f>
        <v/>
      </c>
      <c r="G67" s="21">
        <f>IF(AND(G64&gt;=0,G66&gt;=0),"PASS","BREACH")</f>
        <v/>
      </c>
      <c r="H67" s="21">
        <f>IF(AND(H64&gt;=0,H66&gt;=0),"PASS","BREACH")</f>
        <v/>
      </c>
      <c r="I67" s="21">
        <f>IF(AND(I64&gt;=0,I66&gt;=0),"PASS","BREACH")</f>
        <v/>
      </c>
      <c r="J67" s="21">
        <f>IF(AND(J64&gt;=0,J66&gt;=0),"PASS","BREACH")</f>
        <v/>
      </c>
      <c r="K67" s="21">
        <f>IF(AND(K64&gt;=0,K66&gt;=0),"PASS","BREACH")</f>
        <v/>
      </c>
      <c r="L67" s="21">
        <f>IF(AND(L64&gt;=0,L66&gt;=0),"PASS","BREACH")</f>
        <v/>
      </c>
      <c r="M67" s="21">
        <f>IF(AND(M64&gt;=0,M66&gt;=0),"PASS","BREACH")</f>
        <v/>
      </c>
      <c r="N67" s="21">
        <f>IF(AND(N64&gt;=0,N66&gt;=0),"PASS","BREACH")</f>
        <v/>
      </c>
      <c r="O67" s="21">
        <f>IF(AND(O64&gt;=0,O66&gt;=0),"PASS","BREACH")</f>
        <v/>
      </c>
      <c r="P67" s="21">
        <f>IF(AND(P64&gt;=0,P66&gt;=0),"PASS","BREACH")</f>
        <v/>
      </c>
      <c r="Q67" s="21">
        <f>IF(AND(Q64&gt;=0,Q66&gt;=0),"PASS","BREACH")</f>
        <v/>
      </c>
      <c r="R67" s="21">
        <f>IF(AND(R64&gt;=0,R66&gt;=0),"PASS","BREACH")</f>
        <v/>
      </c>
      <c r="S67" s="21">
        <f>IF(AND(S64&gt;=0,S66&gt;=0),"PASS","BREACH")</f>
        <v/>
      </c>
      <c r="T67" s="21">
        <f>IF(AND(T64&gt;=0,T66&gt;=0),"PASS","BREACH")</f>
        <v/>
      </c>
      <c r="U67" s="21">
        <f>IF(AND(U64&gt;=0,U66&gt;=0),"PASS","BREACH")</f>
        <v/>
      </c>
      <c r="V67" s="21">
        <f>IF(AND(V64&gt;=0,V66&gt;=0),"PASS","BREACH")</f>
        <v/>
      </c>
    </row>
  </sheetData>
  <mergeCells count="9">
    <mergeCell ref="A18:H18"/>
    <mergeCell ref="A48:H48"/>
    <mergeCell ref="A25:H25"/>
    <mergeCell ref="A43:H43"/>
    <mergeCell ref="A31:H31"/>
    <mergeCell ref="A57:H57"/>
    <mergeCell ref="A1:H1"/>
    <mergeCell ref="A37:H37"/>
    <mergeCell ref="A8:H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1" t="inlineStr">
        <is>
          <t>Returns Analysis</t>
        </is>
      </c>
    </row>
    <row r="3">
      <c r="A3" s="10" t="inlineStr">
        <is>
          <t>Exit Period</t>
        </is>
      </c>
      <c r="B3" s="21">
        <f>'Operating Model'!V3</f>
        <v/>
      </c>
    </row>
    <row r="4">
      <c r="A4" s="4" t="inlineStr">
        <is>
          <t>Exit LTM EBITDA</t>
        </is>
      </c>
      <c r="B4" s="12">
        <f>'Debt Schedule'!V58</f>
        <v/>
      </c>
    </row>
    <row r="5">
      <c r="A5" s="4" t="inlineStr">
        <is>
          <t>Exit EV/EBITDA Multiple</t>
        </is>
      </c>
      <c r="B5" s="15">
        <f>'Assumptions'!$B$8</f>
        <v/>
      </c>
    </row>
    <row r="6">
      <c r="A6" s="10" t="inlineStr">
        <is>
          <t>Exit Enterprise Value</t>
        </is>
      </c>
      <c r="B6" s="11">
        <f>B4*'Assumptions'!$B$8</f>
        <v/>
      </c>
    </row>
    <row r="7">
      <c r="A7" s="4" t="inlineStr">
        <is>
          <t>Less: Net Debt at Exit</t>
        </is>
      </c>
      <c r="B7" s="12">
        <f>-'Debt Schedule'!V55</f>
        <v/>
      </c>
    </row>
    <row r="8">
      <c r="A8" s="13" t="inlineStr">
        <is>
          <t>Exit Equity Value (Total)</t>
        </is>
      </c>
      <c r="B8" s="14">
        <f>B6+B7</f>
        <v/>
      </c>
    </row>
    <row r="10">
      <c r="A10" s="3" t="inlineStr">
        <is>
          <t>Invested Capital at Close</t>
        </is>
      </c>
    </row>
    <row r="11">
      <c r="A11" s="4" t="inlineStr">
        <is>
          <t>Sponsor Equity</t>
        </is>
      </c>
      <c r="B11" s="12">
        <f>'Sources &amp; Uses'!$B$18</f>
        <v/>
      </c>
    </row>
    <row r="12">
      <c r="A12" s="4" t="inlineStr">
        <is>
          <t>Management Rollover Equity</t>
        </is>
      </c>
      <c r="B12" s="12">
        <f>'Sources &amp; Uses'!$B$17</f>
        <v/>
      </c>
    </row>
    <row r="13">
      <c r="A13" s="10" t="inlineStr">
        <is>
          <t>Total Invested Equity</t>
        </is>
      </c>
      <c r="B13" s="11">
        <f>B11+B12</f>
        <v/>
      </c>
    </row>
    <row r="15">
      <c r="A15" s="3" t="inlineStr">
        <is>
          <t>Tiered Promote Waterfall</t>
        </is>
      </c>
    </row>
    <row r="16">
      <c r="A16" s="4" t="inlineStr">
        <is>
          <t>Total MOIC (on combined capital)</t>
        </is>
      </c>
      <c r="B16" s="15">
        <f>B8/B13</f>
        <v/>
      </c>
    </row>
    <row r="17">
      <c r="A17" s="4" t="inlineStr">
        <is>
          <t>Tier 1 Proceeds (up to Tier 1 MOIC)</t>
        </is>
      </c>
      <c r="B17" s="12">
        <f>MIN(B8,'Assumptions'!$B$56*B13)</f>
        <v/>
      </c>
    </row>
    <row r="18">
      <c r="A18" s="4" t="inlineStr">
        <is>
          <t>Tier 2 Proceeds (Tier 1 to Tier 2 MOIC)</t>
        </is>
      </c>
      <c r="B18" s="12">
        <f>MAX(0,MIN(B8,'Assumptions'!$B$58*B13)-'Assumptions'!$B$56*B13)</f>
        <v/>
      </c>
    </row>
    <row r="19">
      <c r="A19" s="4" t="inlineStr">
        <is>
          <t>Tier 3 Proceeds (above Tier 2 MOIC)</t>
        </is>
      </c>
      <c r="B19" s="12">
        <f>MAX(0,B8-'Assumptions'!$B$58*B13)</f>
        <v/>
      </c>
    </row>
    <row r="20">
      <c r="A20" s="10" t="inlineStr">
        <is>
          <t>Management Proceeds</t>
        </is>
      </c>
      <c r="B20" s="11">
        <f>B17*'Assumptions'!$B$57+B18*'Assumptions'!$B$59+B19*'Assumptions'!$B$60</f>
        <v/>
      </c>
    </row>
    <row r="21">
      <c r="A21" s="13" t="inlineStr">
        <is>
          <t>Sponsor Proceeds</t>
        </is>
      </c>
      <c r="B21" s="14">
        <f>B8-B20</f>
        <v/>
      </c>
    </row>
    <row r="23">
      <c r="A23" s="3" t="inlineStr">
        <is>
          <t>Sponsor Returns</t>
        </is>
      </c>
    </row>
    <row r="24">
      <c r="A24" s="4" t="inlineStr">
        <is>
          <t>Hold Period (years)</t>
        </is>
      </c>
      <c r="B24" s="20">
        <f>'Assumptions'!$B$6</f>
        <v/>
      </c>
    </row>
    <row r="25">
      <c r="A25" s="10" t="inlineStr">
        <is>
          <t>Sponsor MOIC</t>
        </is>
      </c>
      <c r="B25" s="22">
        <f>B21/B11</f>
        <v/>
      </c>
    </row>
    <row r="26">
      <c r="A26" s="13" t="inlineStr">
        <is>
          <t>Sponsor IRR</t>
        </is>
      </c>
      <c r="B26" s="23">
        <f>(B25)^(1/B24)-1</f>
        <v/>
      </c>
    </row>
    <row r="28">
      <c r="A28" s="3" t="inlineStr">
        <is>
          <t>Management Returns</t>
        </is>
      </c>
    </row>
    <row r="29">
      <c r="A29" s="10" t="inlineStr">
        <is>
          <t>Management MOIC</t>
        </is>
      </c>
      <c r="B29" s="22">
        <f>IFERROR(B20/B12,0)</f>
        <v/>
      </c>
    </row>
    <row r="30">
      <c r="A30" s="13" t="inlineStr">
        <is>
          <t>Management IRR</t>
        </is>
      </c>
      <c r="B30" s="23">
        <f>IFERROR((B29)^(1/B24)-1,0)</f>
        <v/>
      </c>
    </row>
    <row r="32">
      <c r="A32" s="2" t="inlineStr">
        <is>
          <t>Note: exit assumed at end of 20 quarters (col V). Management's share of proceeds ratchets up by tier as total MOIC crosses the Tier 1 / Tier 2 thresholds on the Assumptions tab. Change FORECAST_YEARS in the script for a different hold length.</t>
        </is>
      </c>
    </row>
  </sheetData>
  <mergeCells count="6">
    <mergeCell ref="A15:H15"/>
    <mergeCell ref="A10:H10"/>
    <mergeCell ref="A28:H28"/>
    <mergeCell ref="A1:H1"/>
    <mergeCell ref="A23:H23"/>
    <mergeCell ref="A32:H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2026-07-16T20:43:59Z</dcterms:created>
  <dcterms:modified xsi:type="dcterms:W3CDTF">2026-07-16T20:43:59Z</dcterms:modified>
</cp:coreProperties>
</file>