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aniellee/finance/"/>
    </mc:Choice>
  </mc:AlternateContent>
  <xr:revisionPtr revIDLastSave="0" documentId="13_ncr:1_{7AEDC477-8EA6-6147-9E33-BE8E9A020B4F}" xr6:coauthVersionLast="47" xr6:coauthVersionMax="47" xr10:uidLastSave="{00000000-0000-0000-0000-000000000000}"/>
  <bookViews>
    <workbookView xWindow="0" yWindow="500" windowWidth="28800" windowHeight="17500" activeTab="6" xr2:uid="{00000000-000D-0000-FFFF-FFFF00000000}"/>
  </bookViews>
  <sheets>
    <sheet name="Assumptions" sheetId="1" r:id="rId1"/>
    <sheet name="Sources &amp; Uses" sheetId="2" r:id="rId2"/>
    <sheet name="Operating Model" sheetId="3" r:id="rId3"/>
    <sheet name="Free Cash Flow" sheetId="4" r:id="rId4"/>
    <sheet name="Debt Schedule" sheetId="5" r:id="rId5"/>
    <sheet name="Returns" sheetId="6" r:id="rId6"/>
    <sheet name="Sensitiv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D7" i="7"/>
  <c r="G19" i="7"/>
  <c r="D15" i="7"/>
  <c r="B19" i="7"/>
  <c r="B18" i="7"/>
  <c r="B17" i="7"/>
  <c r="B16" i="7"/>
  <c r="B15" i="7"/>
  <c r="G14" i="7"/>
  <c r="F14" i="7"/>
  <c r="E14" i="7"/>
  <c r="D14" i="7"/>
  <c r="C14" i="7"/>
  <c r="B10" i="7"/>
  <c r="B9" i="7"/>
  <c r="B8" i="7"/>
  <c r="B7" i="7"/>
  <c r="B6" i="7"/>
  <c r="G5" i="7"/>
  <c r="F5" i="7"/>
  <c r="E5" i="7"/>
  <c r="D5" i="7"/>
  <c r="C5" i="7"/>
  <c r="B13" i="6"/>
  <c r="B5" i="6"/>
  <c r="B30" i="5"/>
  <c r="B28" i="5"/>
  <c r="B25" i="5"/>
  <c r="C23" i="5" s="1"/>
  <c r="B24" i="5"/>
  <c r="B8" i="4"/>
  <c r="B8" i="3"/>
  <c r="B6" i="3"/>
  <c r="C6" i="3" s="1"/>
  <c r="D6" i="3" s="1"/>
  <c r="E6" i="3" s="1"/>
  <c r="F6" i="3" s="1"/>
  <c r="G6" i="3" s="1"/>
  <c r="B4" i="3"/>
  <c r="B7" i="3" s="1"/>
  <c r="B9" i="3" s="1"/>
  <c r="B11" i="3" s="1"/>
  <c r="B3" i="3"/>
  <c r="C3" i="3" s="1"/>
  <c r="B15" i="2"/>
  <c r="B21" i="2" s="1"/>
  <c r="B13" i="2"/>
  <c r="B19" i="5" s="1"/>
  <c r="C17" i="5" s="1"/>
  <c r="B12" i="2"/>
  <c r="B8" i="2"/>
  <c r="B6" i="2"/>
  <c r="B3" i="2"/>
  <c r="D3" i="3" l="1"/>
  <c r="C3" i="5"/>
  <c r="C3" i="4"/>
  <c r="B12" i="3"/>
  <c r="B13" i="3" s="1"/>
  <c r="B9" i="2"/>
  <c r="C20" i="5"/>
  <c r="C26" i="5"/>
  <c r="B13" i="5"/>
  <c r="B3" i="4"/>
  <c r="B3" i="5"/>
  <c r="B7" i="2"/>
  <c r="C4" i="3"/>
  <c r="B16" i="2" l="1"/>
  <c r="C7" i="3"/>
  <c r="D4" i="3"/>
  <c r="C5" i="3"/>
  <c r="C6" i="4"/>
  <c r="C7" i="4"/>
  <c r="C8" i="3"/>
  <c r="C5" i="4" s="1"/>
  <c r="B29" i="5"/>
  <c r="B31" i="5" s="1"/>
  <c r="B32" i="5" s="1"/>
  <c r="C10" i="5"/>
  <c r="D3" i="5"/>
  <c r="D3" i="4"/>
  <c r="E3" i="3"/>
  <c r="F3" i="3" l="1"/>
  <c r="E3" i="5"/>
  <c r="E3" i="4"/>
  <c r="D6" i="4"/>
  <c r="D7" i="3"/>
  <c r="E4" i="3"/>
  <c r="D8" i="3"/>
  <c r="D5" i="4" s="1"/>
  <c r="D5" i="3"/>
  <c r="D7" i="4"/>
  <c r="C9" i="3"/>
  <c r="C14" i="5"/>
  <c r="C28" i="5" s="1"/>
  <c r="C10" i="3" s="1"/>
  <c r="C11" i="5"/>
  <c r="C6" i="5" s="1"/>
  <c r="B17" i="2"/>
  <c r="B11" i="6" s="1"/>
  <c r="B18" i="6" s="1"/>
  <c r="E6" i="4" l="1"/>
  <c r="E7" i="3"/>
  <c r="E8" i="3"/>
  <c r="E5" i="4" s="1"/>
  <c r="E7" i="4"/>
  <c r="F4" i="3"/>
  <c r="E5" i="3"/>
  <c r="D9" i="3"/>
  <c r="B18" i="2"/>
  <c r="B19" i="2" s="1"/>
  <c r="C11" i="3"/>
  <c r="G3" i="3"/>
  <c r="F3" i="5"/>
  <c r="F3" i="4"/>
  <c r="F8" i="3" l="1"/>
  <c r="F5" i="4" s="1"/>
  <c r="F5" i="3"/>
  <c r="F7" i="4"/>
  <c r="F6" i="4"/>
  <c r="F7" i="3"/>
  <c r="F9" i="3" s="1"/>
  <c r="G4" i="3"/>
  <c r="B3" i="6"/>
  <c r="G3" i="5"/>
  <c r="G3" i="4"/>
  <c r="C12" i="3"/>
  <c r="C13" i="3" s="1"/>
  <c r="C4" i="4" s="1"/>
  <c r="C8" i="4" s="1"/>
  <c r="C5" i="5" s="1"/>
  <c r="E9" i="3"/>
  <c r="C7" i="5" l="1"/>
  <c r="G8" i="3"/>
  <c r="G5" i="4" s="1"/>
  <c r="G5" i="3"/>
  <c r="G7" i="3"/>
  <c r="G7" i="4"/>
  <c r="G6" i="4"/>
  <c r="G9" i="3" l="1"/>
  <c r="B4" i="6"/>
  <c r="B6" i="6" s="1"/>
  <c r="C12" i="5"/>
  <c r="C18" i="5" s="1"/>
  <c r="C19" i="5" s="1"/>
  <c r="D17" i="5" s="1"/>
  <c r="D20" i="5" l="1"/>
  <c r="C13" i="5"/>
  <c r="C24" i="5"/>
  <c r="C25" i="5" s="1"/>
  <c r="D23" i="5" s="1"/>
  <c r="C30" i="5"/>
  <c r="D26" i="5" l="1"/>
  <c r="C29" i="5"/>
  <c r="C31" i="5" s="1"/>
  <c r="C32" i="5" s="1"/>
  <c r="D10" i="5"/>
  <c r="D14" i="5" l="1"/>
  <c r="D28" i="5" s="1"/>
  <c r="D10" i="3" s="1"/>
  <c r="D11" i="3" s="1"/>
  <c r="D11" i="5"/>
  <c r="D6" i="5" s="1"/>
  <c r="D12" i="3" l="1"/>
  <c r="D13" i="3" s="1"/>
  <c r="D4" i="4" s="1"/>
  <c r="D8" i="4" s="1"/>
  <c r="D5" i="5" s="1"/>
  <c r="D7" i="5" l="1"/>
  <c r="D12" i="5" l="1"/>
  <c r="D13" i="5" l="1"/>
  <c r="D18" i="5"/>
  <c r="D19" i="5" s="1"/>
  <c r="E17" i="5" s="1"/>
  <c r="D30" i="5" l="1"/>
  <c r="E20" i="5"/>
  <c r="D24" i="5"/>
  <c r="D25" i="5" s="1"/>
  <c r="E23" i="5" s="1"/>
  <c r="D29" i="5"/>
  <c r="E10" i="5"/>
  <c r="E14" i="5" l="1"/>
  <c r="E11" i="5"/>
  <c r="E6" i="5" s="1"/>
  <c r="D31" i="5"/>
  <c r="D32" i="5" s="1"/>
  <c r="E26" i="5"/>
  <c r="E28" i="5" l="1"/>
  <c r="E10" i="3" s="1"/>
  <c r="E11" i="3" s="1"/>
  <c r="E12" i="3" l="1"/>
  <c r="E13" i="3"/>
  <c r="E4" i="4" s="1"/>
  <c r="E8" i="4" s="1"/>
  <c r="E5" i="5" s="1"/>
  <c r="E7" i="5" l="1"/>
  <c r="E12" i="5" l="1"/>
  <c r="E13" i="5" l="1"/>
  <c r="E18" i="5"/>
  <c r="E19" i="5" s="1"/>
  <c r="F17" i="5" s="1"/>
  <c r="F20" i="5" l="1"/>
  <c r="E30" i="5"/>
  <c r="E24" i="5"/>
  <c r="E25" i="5" s="1"/>
  <c r="F23" i="5" s="1"/>
  <c r="F10" i="5"/>
  <c r="F26" i="5" l="1"/>
  <c r="E29" i="5"/>
  <c r="E31" i="5" s="1"/>
  <c r="E32" i="5" s="1"/>
  <c r="F14" i="5"/>
  <c r="F28" i="5" s="1"/>
  <c r="F10" i="3" s="1"/>
  <c r="F11" i="3" s="1"/>
  <c r="F11" i="5"/>
  <c r="F6" i="5" s="1"/>
  <c r="F12" i="3" l="1"/>
  <c r="F13" i="3"/>
  <c r="F4" i="4" s="1"/>
  <c r="F8" i="4" s="1"/>
  <c r="F5" i="5" s="1"/>
  <c r="F7" i="5" l="1"/>
  <c r="F12" i="5" l="1"/>
  <c r="F13" i="5" l="1"/>
  <c r="F18" i="5"/>
  <c r="F19" i="5" s="1"/>
  <c r="G17" i="5" s="1"/>
  <c r="G20" i="5" l="1"/>
  <c r="F30" i="5"/>
  <c r="F24" i="5"/>
  <c r="F25" i="5" s="1"/>
  <c r="G23" i="5" s="1"/>
  <c r="G10" i="5"/>
  <c r="F29" i="5"/>
  <c r="F31" i="5" l="1"/>
  <c r="F32" i="5" s="1"/>
  <c r="G14" i="5"/>
  <c r="G11" i="5"/>
  <c r="G6" i="5" s="1"/>
  <c r="G26" i="5"/>
  <c r="G28" i="5" l="1"/>
  <c r="G10" i="3" s="1"/>
  <c r="G11" i="3" s="1"/>
  <c r="G12" i="3" l="1"/>
  <c r="G13" i="3"/>
  <c r="G4" i="4" s="1"/>
  <c r="G8" i="4" s="1"/>
  <c r="G5" i="5" s="1"/>
  <c r="G7" i="5" l="1"/>
  <c r="G12" i="5" l="1"/>
  <c r="G13" i="5" l="1"/>
  <c r="G18" i="5"/>
  <c r="G19" i="5" s="1"/>
  <c r="G30" i="5" l="1"/>
  <c r="G24" i="5"/>
  <c r="G25" i="5" s="1"/>
  <c r="G29" i="5" s="1"/>
  <c r="G31" i="5" s="1"/>
  <c r="G32" i="5" l="1"/>
  <c r="B7" i="6"/>
  <c r="B8" i="6" s="1"/>
  <c r="B12" i="6" s="1"/>
  <c r="F8" i="7"/>
  <c r="F17" i="7" s="1"/>
  <c r="D8" i="7"/>
  <c r="D17" i="7" s="1"/>
  <c r="E10" i="7"/>
  <c r="E19" i="7" s="1"/>
  <c r="G8" i="7"/>
  <c r="G17" i="7" s="1"/>
  <c r="G10" i="7"/>
  <c r="C9" i="7"/>
  <c r="C18" i="7" s="1"/>
  <c r="E7" i="7"/>
  <c r="E16" i="7" s="1"/>
  <c r="G7" i="7"/>
  <c r="G16" i="7" s="1"/>
  <c r="E8" i="7"/>
  <c r="E17" i="7" s="1"/>
  <c r="G6" i="7"/>
  <c r="G15" i="7" s="1"/>
  <c r="D10" i="7"/>
  <c r="D19" i="7" s="1"/>
  <c r="D16" i="7"/>
  <c r="E9" i="7"/>
  <c r="E18" i="7" s="1"/>
  <c r="C15" i="7"/>
  <c r="G9" i="7"/>
  <c r="G18" i="7" s="1"/>
  <c r="E6" i="7"/>
  <c r="E15" i="7" s="1"/>
  <c r="C7" i="7"/>
  <c r="C16" i="7" s="1"/>
  <c r="F10" i="7"/>
  <c r="F19" i="7" s="1"/>
  <c r="F7" i="7"/>
  <c r="F16" i="7" s="1"/>
  <c r="D9" i="7"/>
  <c r="D18" i="7" s="1"/>
  <c r="D6" i="7"/>
  <c r="F9" i="7"/>
  <c r="F18" i="7" s="1"/>
  <c r="F6" i="7"/>
  <c r="F15" i="7" s="1"/>
  <c r="C10" i="7"/>
  <c r="C19" i="7" s="1"/>
  <c r="C8" i="7"/>
  <c r="C17" i="7" s="1"/>
  <c r="B14" i="6" l="1"/>
  <c r="B15" i="6" s="1"/>
  <c r="B20" i="6"/>
</calcChain>
</file>

<file path=xl/sharedStrings.xml><?xml version="1.0" encoding="utf-8"?>
<sst xmlns="http://schemas.openxmlformats.org/spreadsheetml/2006/main" count="114" uniqueCount="100">
  <si>
    <t>LBO Model — Assumptions</t>
  </si>
  <si>
    <t>Yellow cells = hardcoded inputs. Change these to drive the whole model.</t>
  </si>
  <si>
    <t>Transaction</t>
  </si>
  <si>
    <t>Transaction / Entry Year</t>
  </si>
  <si>
    <t>Hold Period (years)</t>
  </si>
  <si>
    <t>Entry EV / EBITDA Multiple</t>
  </si>
  <si>
    <t>Exit EV / EBITDA Multiple</t>
  </si>
  <si>
    <t>Transaction Fees (% of EV)</t>
  </si>
  <si>
    <t>Financing Fees (% of Total Debt)</t>
  </si>
  <si>
    <t>Operating Assumptions (Entry Year, Year 0)</t>
  </si>
  <si>
    <t>Entry Revenue ($mm)</t>
  </si>
  <si>
    <t>Revenue Growth Rate (annual)</t>
  </si>
  <si>
    <t>Entry EBITDA Margin</t>
  </si>
  <si>
    <t>EBITDA Margin Expansion (bps/yr)</t>
  </si>
  <si>
    <t>D&amp;A (% of Revenue)</t>
  </si>
  <si>
    <t>Capex (% of Revenue)</t>
  </si>
  <si>
    <t>Change in NWC (% of Rev. Growth $)</t>
  </si>
  <si>
    <t>Tax Rate</t>
  </si>
  <si>
    <t>Financing Assumptions</t>
  </si>
  <si>
    <t>Term Loan Leverage (x EBITDA)</t>
  </si>
  <si>
    <t>Term Loan Interest Rate</t>
  </si>
  <si>
    <t>Term Loan Mandatory Amort (%/yr of orig.)</t>
  </si>
  <si>
    <t>Subordinated Notes Leverage (x EBITDA)</t>
  </si>
  <si>
    <t>Subordinated Notes Interest Rate</t>
  </si>
  <si>
    <t>Revolver Interest Rate</t>
  </si>
  <si>
    <t>Minimum Cash Balance ($mm)</t>
  </si>
  <si>
    <t>Cash Sweep (% of Excess FCF to Debt)</t>
  </si>
  <si>
    <t>Management Rollover (% of Sponsor Equity)</t>
  </si>
  <si>
    <t>Sources &amp; Uses</t>
  </si>
  <si>
    <t>Entry EBITDA ($mm)</t>
  </si>
  <si>
    <t>Uses</t>
  </si>
  <si>
    <t>Purchase Enterprise Value</t>
  </si>
  <si>
    <t>Transaction Fees</t>
  </si>
  <si>
    <t>Financing Fees</t>
  </si>
  <si>
    <t>Total Uses</t>
  </si>
  <si>
    <t>Sources</t>
  </si>
  <si>
    <t>Term Loan</t>
  </si>
  <si>
    <t>Subordinated Notes</t>
  </si>
  <si>
    <t>Revolver Draw at Close</t>
  </si>
  <si>
    <t>Total Debt</t>
  </si>
  <si>
    <t>Management Rollover Equity</t>
  </si>
  <si>
    <t>Sponsor Equity (plug)</t>
  </si>
  <si>
    <t>Total Sources</t>
  </si>
  <si>
    <t>Check (Sources - Uses)</t>
  </si>
  <si>
    <t>Opening Leverage (Total Debt / EBITDA)</t>
  </si>
  <si>
    <t>Operating Model</t>
  </si>
  <si>
    <t>Year</t>
  </si>
  <si>
    <t>Revenue</t>
  </si>
  <si>
    <t xml:space="preserve">  % growth</t>
  </si>
  <si>
    <t>EBITDA Margin</t>
  </si>
  <si>
    <t>EBITDA</t>
  </si>
  <si>
    <t>Less: D&amp;A</t>
  </si>
  <si>
    <t>EBIT</t>
  </si>
  <si>
    <t>Less: Cash Interest Expense, net</t>
  </si>
  <si>
    <t>EBT</t>
  </si>
  <si>
    <t>Less: Cash Taxes</t>
  </si>
  <si>
    <t>Net Income</t>
  </si>
  <si>
    <t>Free Cash Flow</t>
  </si>
  <si>
    <t>Plus: D&amp;A</t>
  </si>
  <si>
    <t>Less: Capex</t>
  </si>
  <si>
    <t>Less: Increase in NWC</t>
  </si>
  <si>
    <t>Cash Flow Available for Debt Service (CFADS)</t>
  </si>
  <si>
    <t>Debt Schedule</t>
  </si>
  <si>
    <t>CFADS (from FCF tab)</t>
  </si>
  <si>
    <t>Less: Mandatory Term Loan Amort.</t>
  </si>
  <si>
    <t>Cash Flow Available for Optional Sweep</t>
  </si>
  <si>
    <t>Beginning Balance</t>
  </si>
  <si>
    <t>Mandatory Amortization</t>
  </si>
  <si>
    <t>Optional Sweep</t>
  </si>
  <si>
    <t>Ending Balance</t>
  </si>
  <si>
    <t>Interest Expense (on beg. balance)</t>
  </si>
  <si>
    <t>Optional Sweep (after Term Loan repaid)</t>
  </si>
  <si>
    <t>Revolver</t>
  </si>
  <si>
    <t>(Draw) / Paydown</t>
  </si>
  <si>
    <t>Total Interest Expense</t>
  </si>
  <si>
    <t>Total Debt (Ending)</t>
  </si>
  <si>
    <t>Cash Balance</t>
  </si>
  <si>
    <t>Net Debt</t>
  </si>
  <si>
    <t>Leverage (Net Debt / EBITDA)</t>
  </si>
  <si>
    <t>Returns Analysis</t>
  </si>
  <si>
    <t>Exit Year</t>
  </si>
  <si>
    <t>Exit EBITDA</t>
  </si>
  <si>
    <t>Exit EV/EBITDA Multiple</t>
  </si>
  <si>
    <t>Exit Enterprise Value</t>
  </si>
  <si>
    <t>Less: Net Debt at Exit</t>
  </si>
  <si>
    <t>Exit Equity Value</t>
  </si>
  <si>
    <t>Sponsor Returns</t>
  </si>
  <si>
    <t>Initial Sponsor Equity</t>
  </si>
  <si>
    <t>Exit Sponsor Equity Proceeds</t>
  </si>
  <si>
    <t>MOIC</t>
  </si>
  <si>
    <t>IRR</t>
  </si>
  <si>
    <t>Cash Flow Check (for XIRR)</t>
  </si>
  <si>
    <t>Year 0 (Equity Out)</t>
  </si>
  <si>
    <t>Years 1-4</t>
  </si>
  <si>
    <t>Exit Year (Equity In)</t>
  </si>
  <si>
    <t>Note: exit assumed at end of Year 5 (col G). Change FORECAST_YEARS in the script if you want a different hold length.</t>
  </si>
  <si>
    <t>Sensitivity Analysis</t>
  </si>
  <si>
    <t>Holds leverage, growth, margins, and rates fixed at their Assumptions-tab values; varies only Entry and Exit EV/EBITDA multiples.</t>
  </si>
  <si>
    <t>MOIC — Entry Multiple (rows) vs Exit Multiple (columns)</t>
  </si>
  <si>
    <t>IRR — Entry Multiple (rows) vs Exit Multiple (columns)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</si>
</sst>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x&quot;"/>
    <numFmt numFmtId="165" formatCode="0.0%"/>
    <numFmt numFmtId="166" formatCode="#,##0.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9"/>
      <color rgb="FF808080"/>
      <name val="Calibri"/>
    </font>
    <font>
      <b/>
      <sz val="11"/>
      <color rgb="FF1F3864"/>
      <name val="Calibri"/>
    </font>
    <font>
      <sz val="11"/>
      <name val="Calibri"/>
    </font>
    <font>
      <sz val="11"/>
      <color rgb="FF1F4E78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0" fillId="0" borderId="1" xfId="0" applyNumberFormat="1" applyBorder="1"/>
    <xf numFmtId="0" fontId="6" fillId="4" borderId="0" xfId="0" applyFont="1" applyFill="1"/>
    <xf numFmtId="166" fontId="6" fillId="4" borderId="1" xfId="0" applyNumberFormat="1" applyFont="1" applyFill="1" applyBorder="1"/>
    <xf numFmtId="164" fontId="0" fillId="0" borderId="1" xfId="0" applyNumberFormat="1" applyBorder="1"/>
    <xf numFmtId="1" fontId="6" fillId="0" borderId="1" xfId="0" applyNumberFormat="1" applyFont="1" applyBorder="1"/>
    <xf numFmtId="165" fontId="0" fillId="0" borderId="1" xfId="0" applyNumberFormat="1" applyBorder="1"/>
    <xf numFmtId="1" fontId="0" fillId="0" borderId="1" xfId="0" applyNumberFormat="1" applyBorder="1"/>
    <xf numFmtId="164" fontId="6" fillId="0" borderId="1" xfId="0" applyNumberFormat="1" applyFont="1" applyBorder="1"/>
    <xf numFmtId="165" fontId="6" fillId="4" borderId="1" xfId="0" applyNumberFormat="1" applyFont="1" applyFill="1" applyBorder="1"/>
    <xf numFmtId="0" fontId="3" fillId="2" borderId="0" xfId="0" applyFont="1" applyFill="1"/>
    <xf numFmtId="0" fontId="0" fillId="0" borderId="0" xfId="0"/>
    <xf numFmtId="0" fontId="1" fillId="0" borderId="0" xfId="0" applyFont="1"/>
    <xf numFmtId="0" fontId="2" fillId="0" borderId="0" xfId="0" applyFont="1"/>
    <xf numFmtId="0" fontId="0" fillId="5" borderId="0" xfId="0" applyFill="1"/>
    <xf numFmtId="164" fontId="6" fillId="5" borderId="1" xfId="0" applyNumberFormat="1" applyFont="1" applyFill="1" applyBorder="1"/>
    <xf numFmtId="164" fontId="0" fillId="5" borderId="1" xfId="0" applyNumberFormat="1" applyFill="1" applyBorder="1"/>
    <xf numFmtId="0" fontId="3" fillId="5" borderId="0" xfId="0" applyFont="1" applyFill="1"/>
    <xf numFmtId="0" fontId="0" fillId="5" borderId="0" xfId="0" applyFill="1"/>
    <xf numFmtId="0" fontId="6" fillId="5" borderId="0" xfId="0" applyFont="1" applyFill="1"/>
    <xf numFmtId="165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4" customWidth="1"/>
    <col min="2" max="8" width="14" customWidth="1"/>
  </cols>
  <sheetData>
    <row r="1" spans="1:8" ht="19" x14ac:dyDescent="0.25">
      <c r="A1" s="20" t="s">
        <v>0</v>
      </c>
      <c r="B1" s="19"/>
      <c r="C1" s="19"/>
      <c r="D1" s="19"/>
      <c r="E1" s="19"/>
      <c r="F1" s="19"/>
      <c r="G1" s="19"/>
      <c r="H1" s="19"/>
    </row>
    <row r="2" spans="1:8" x14ac:dyDescent="0.2">
      <c r="A2" s="1" t="s">
        <v>1</v>
      </c>
    </row>
    <row r="4" spans="1:8" x14ac:dyDescent="0.2">
      <c r="A4" s="18" t="s">
        <v>2</v>
      </c>
      <c r="B4" s="19"/>
      <c r="C4" s="19"/>
      <c r="D4" s="19"/>
      <c r="E4" s="19"/>
      <c r="F4" s="19"/>
      <c r="G4" s="19"/>
      <c r="H4" s="19"/>
    </row>
    <row r="5" spans="1:8" x14ac:dyDescent="0.2">
      <c r="A5" s="2" t="s">
        <v>3</v>
      </c>
      <c r="B5" s="3">
        <v>2026</v>
      </c>
    </row>
    <row r="6" spans="1:8" x14ac:dyDescent="0.2">
      <c r="A6" s="2" t="s">
        <v>4</v>
      </c>
      <c r="B6" s="3">
        <v>5</v>
      </c>
    </row>
    <row r="7" spans="1:8" x14ac:dyDescent="0.2">
      <c r="A7" s="2" t="s">
        <v>5</v>
      </c>
      <c r="B7" s="4">
        <v>9</v>
      </c>
    </row>
    <row r="8" spans="1:8" x14ac:dyDescent="0.2">
      <c r="A8" s="2" t="s">
        <v>6</v>
      </c>
      <c r="B8" s="4">
        <v>9</v>
      </c>
    </row>
    <row r="9" spans="1:8" x14ac:dyDescent="0.2">
      <c r="A9" s="2" t="s">
        <v>7</v>
      </c>
      <c r="B9" s="5">
        <v>0.02</v>
      </c>
    </row>
    <row r="10" spans="1:8" x14ac:dyDescent="0.2">
      <c r="A10" s="2" t="s">
        <v>8</v>
      </c>
      <c r="B10" s="5">
        <v>0.02</v>
      </c>
    </row>
    <row r="12" spans="1:8" x14ac:dyDescent="0.2">
      <c r="A12" s="18" t="s">
        <v>9</v>
      </c>
      <c r="B12" s="19"/>
      <c r="C12" s="19"/>
      <c r="D12" s="19"/>
      <c r="E12" s="19"/>
      <c r="F12" s="19"/>
      <c r="G12" s="19"/>
      <c r="H12" s="19"/>
    </row>
    <row r="13" spans="1:8" x14ac:dyDescent="0.2">
      <c r="A13" s="2" t="s">
        <v>10</v>
      </c>
      <c r="B13" s="6">
        <v>500</v>
      </c>
    </row>
    <row r="14" spans="1:8" x14ac:dyDescent="0.2">
      <c r="A14" s="2" t="s">
        <v>11</v>
      </c>
      <c r="B14" s="5">
        <v>0.06</v>
      </c>
    </row>
    <row r="15" spans="1:8" x14ac:dyDescent="0.2">
      <c r="A15" s="2" t="s">
        <v>12</v>
      </c>
      <c r="B15" s="5">
        <v>0.22</v>
      </c>
    </row>
    <row r="16" spans="1:8" x14ac:dyDescent="0.2">
      <c r="A16" s="2" t="s">
        <v>13</v>
      </c>
      <c r="B16" s="5">
        <v>2.5000000000000001E-3</v>
      </c>
    </row>
    <row r="17" spans="1:8" x14ac:dyDescent="0.2">
      <c r="A17" s="2" t="s">
        <v>14</v>
      </c>
      <c r="B17" s="5">
        <v>3.5000000000000003E-2</v>
      </c>
    </row>
    <row r="18" spans="1:8" x14ac:dyDescent="0.2">
      <c r="A18" s="2" t="s">
        <v>15</v>
      </c>
      <c r="B18" s="5">
        <v>0.03</v>
      </c>
    </row>
    <row r="19" spans="1:8" x14ac:dyDescent="0.2">
      <c r="A19" s="2" t="s">
        <v>16</v>
      </c>
      <c r="B19" s="5">
        <v>0.15</v>
      </c>
    </row>
    <row r="20" spans="1:8" x14ac:dyDescent="0.2">
      <c r="A20" s="2" t="s">
        <v>17</v>
      </c>
      <c r="B20" s="5">
        <v>0.25</v>
      </c>
    </row>
    <row r="22" spans="1:8" x14ac:dyDescent="0.2">
      <c r="A22" s="18" t="s">
        <v>18</v>
      </c>
      <c r="B22" s="19"/>
      <c r="C22" s="19"/>
      <c r="D22" s="19"/>
      <c r="E22" s="19"/>
      <c r="F22" s="19"/>
      <c r="G22" s="19"/>
      <c r="H22" s="19"/>
    </row>
    <row r="23" spans="1:8" x14ac:dyDescent="0.2">
      <c r="A23" s="2" t="s">
        <v>19</v>
      </c>
      <c r="B23" s="4">
        <v>4.5</v>
      </c>
    </row>
    <row r="24" spans="1:8" x14ac:dyDescent="0.2">
      <c r="A24" s="2" t="s">
        <v>20</v>
      </c>
      <c r="B24" s="5">
        <v>8.5000000000000006E-2</v>
      </c>
    </row>
    <row r="25" spans="1:8" x14ac:dyDescent="0.2">
      <c r="A25" s="2" t="s">
        <v>21</v>
      </c>
      <c r="B25" s="5">
        <v>0.01</v>
      </c>
    </row>
    <row r="26" spans="1:8" x14ac:dyDescent="0.2">
      <c r="A26" s="2" t="s">
        <v>22</v>
      </c>
      <c r="B26" s="4">
        <v>1.5</v>
      </c>
    </row>
    <row r="27" spans="1:8" x14ac:dyDescent="0.2">
      <c r="A27" s="2" t="s">
        <v>23</v>
      </c>
      <c r="B27" s="5">
        <v>0.11</v>
      </c>
    </row>
    <row r="28" spans="1:8" x14ac:dyDescent="0.2">
      <c r="A28" s="2" t="s">
        <v>24</v>
      </c>
      <c r="B28" s="5">
        <v>7.4999999999999997E-2</v>
      </c>
    </row>
    <row r="29" spans="1:8" x14ac:dyDescent="0.2">
      <c r="A29" s="2" t="s">
        <v>25</v>
      </c>
      <c r="B29" s="6">
        <v>10</v>
      </c>
    </row>
    <row r="30" spans="1:8" x14ac:dyDescent="0.2">
      <c r="A30" s="2" t="s">
        <v>26</v>
      </c>
      <c r="B30" s="5">
        <v>1</v>
      </c>
    </row>
    <row r="31" spans="1:8" x14ac:dyDescent="0.2">
      <c r="A31" s="2" t="s">
        <v>27</v>
      </c>
      <c r="B31" s="5">
        <v>0</v>
      </c>
    </row>
  </sheetData>
  <mergeCells count="4">
    <mergeCell ref="A12:H12"/>
    <mergeCell ref="A4:H4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14" customWidth="1"/>
    <col min="4" max="4" width="16" customWidth="1"/>
  </cols>
  <sheetData>
    <row r="1" spans="1:8" ht="19" x14ac:dyDescent="0.25">
      <c r="A1" s="20" t="s">
        <v>28</v>
      </c>
      <c r="B1" s="19"/>
      <c r="C1" s="19"/>
      <c r="D1" s="19"/>
      <c r="E1" s="19"/>
      <c r="F1" s="19"/>
      <c r="G1" s="19"/>
      <c r="H1" s="19"/>
    </row>
    <row r="3" spans="1:8" x14ac:dyDescent="0.2">
      <c r="A3" s="7" t="s">
        <v>29</v>
      </c>
      <c r="B3" s="8">
        <f>Assumptions!$B$13*Assumptions!$B$15</f>
        <v>110</v>
      </c>
    </row>
    <row r="5" spans="1:8" x14ac:dyDescent="0.2">
      <c r="A5" s="18" t="s">
        <v>30</v>
      </c>
      <c r="B5" s="19"/>
      <c r="C5" s="19"/>
      <c r="D5" s="19"/>
      <c r="E5" s="19"/>
      <c r="F5" s="19"/>
      <c r="G5" s="19"/>
      <c r="H5" s="19"/>
    </row>
    <row r="6" spans="1:8" x14ac:dyDescent="0.2">
      <c r="A6" s="2" t="s">
        <v>31</v>
      </c>
      <c r="B6" s="9">
        <f>B3*Assumptions!$B$7</f>
        <v>990</v>
      </c>
    </row>
    <row r="7" spans="1:8" x14ac:dyDescent="0.2">
      <c r="A7" s="2" t="s">
        <v>32</v>
      </c>
      <c r="B7" s="9">
        <f>B6*Assumptions!$B$9</f>
        <v>19.8</v>
      </c>
    </row>
    <row r="8" spans="1:8" x14ac:dyDescent="0.2">
      <c r="A8" s="2" t="s">
        <v>33</v>
      </c>
      <c r="B8" s="9">
        <f>B15*Assumptions!$B$10</f>
        <v>13.200000000000001</v>
      </c>
    </row>
    <row r="9" spans="1:8" x14ac:dyDescent="0.2">
      <c r="A9" s="10" t="s">
        <v>34</v>
      </c>
      <c r="B9" s="11">
        <f>SUM(B6:B8)</f>
        <v>1023</v>
      </c>
    </row>
    <row r="11" spans="1:8" x14ac:dyDescent="0.2">
      <c r="A11" s="18" t="s">
        <v>35</v>
      </c>
      <c r="B11" s="19"/>
      <c r="C11" s="19"/>
      <c r="D11" s="19"/>
      <c r="E11" s="19"/>
      <c r="F11" s="19"/>
      <c r="G11" s="19"/>
      <c r="H11" s="19"/>
    </row>
    <row r="12" spans="1:8" x14ac:dyDescent="0.2">
      <c r="A12" s="2" t="s">
        <v>36</v>
      </c>
      <c r="B12" s="9">
        <f>B3*Assumptions!$B$23</f>
        <v>495</v>
      </c>
    </row>
    <row r="13" spans="1:8" x14ac:dyDescent="0.2">
      <c r="A13" s="2" t="s">
        <v>37</v>
      </c>
      <c r="B13" s="9">
        <f>B3*Assumptions!$B$26</f>
        <v>165</v>
      </c>
    </row>
    <row r="14" spans="1:8" x14ac:dyDescent="0.2">
      <c r="A14" s="2" t="s">
        <v>38</v>
      </c>
      <c r="B14" s="9">
        <v>0</v>
      </c>
    </row>
    <row r="15" spans="1:8" x14ac:dyDescent="0.2">
      <c r="A15" s="2" t="s">
        <v>39</v>
      </c>
      <c r="B15" s="9">
        <f>SUM(B12:B14)</f>
        <v>660</v>
      </c>
    </row>
    <row r="16" spans="1:8" x14ac:dyDescent="0.2">
      <c r="A16" s="2" t="s">
        <v>40</v>
      </c>
      <c r="B16" s="9">
        <f>(B9-B15)*Assumptions!$B$31</f>
        <v>0</v>
      </c>
    </row>
    <row r="17" spans="1:2" x14ac:dyDescent="0.2">
      <c r="A17" s="7" t="s">
        <v>41</v>
      </c>
      <c r="B17" s="8">
        <f>B9-B15-B16</f>
        <v>363</v>
      </c>
    </row>
    <row r="18" spans="1:2" x14ac:dyDescent="0.2">
      <c r="A18" s="10" t="s">
        <v>42</v>
      </c>
      <c r="B18" s="11">
        <f>B15+B16+B17</f>
        <v>1023</v>
      </c>
    </row>
    <row r="19" spans="1:2" x14ac:dyDescent="0.2">
      <c r="A19" s="2" t="s">
        <v>43</v>
      </c>
      <c r="B19" s="9">
        <f>B18-B9</f>
        <v>0</v>
      </c>
    </row>
    <row r="21" spans="1:2" x14ac:dyDescent="0.2">
      <c r="A21" s="2" t="s">
        <v>44</v>
      </c>
      <c r="B21" s="12">
        <f>B15/B3</f>
        <v>6</v>
      </c>
    </row>
  </sheetData>
  <mergeCells count="3">
    <mergeCell ref="A11:H11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0" customWidth="1"/>
    <col min="2" max="7" width="14" customWidth="1"/>
  </cols>
  <sheetData>
    <row r="1" spans="1:8" ht="19" x14ac:dyDescent="0.25">
      <c r="A1" s="20" t="s">
        <v>45</v>
      </c>
      <c r="B1" s="19"/>
      <c r="C1" s="19"/>
      <c r="D1" s="19"/>
      <c r="E1" s="19"/>
      <c r="F1" s="19"/>
      <c r="G1" s="19"/>
      <c r="H1" s="19"/>
    </row>
    <row r="3" spans="1:8" x14ac:dyDescent="0.2">
      <c r="A3" s="7" t="s">
        <v>46</v>
      </c>
      <c r="B3" s="13">
        <f>Assumptions!$B$5</f>
        <v>2026</v>
      </c>
      <c r="C3" s="13">
        <f>B3+1</f>
        <v>2027</v>
      </c>
      <c r="D3" s="13">
        <f>C3+1</f>
        <v>2028</v>
      </c>
      <c r="E3" s="13">
        <f>D3+1</f>
        <v>2029</v>
      </c>
      <c r="F3" s="13">
        <f>E3+1</f>
        <v>2030</v>
      </c>
      <c r="G3" s="13">
        <f>F3+1</f>
        <v>2031</v>
      </c>
    </row>
    <row r="4" spans="1:8" x14ac:dyDescent="0.2">
      <c r="A4" s="7" t="s">
        <v>47</v>
      </c>
      <c r="B4" s="8">
        <f>Assumptions!$B$13</f>
        <v>500</v>
      </c>
      <c r="C4" s="8">
        <f>B4*(1+Assumptions!$B$14)</f>
        <v>530</v>
      </c>
      <c r="D4" s="8">
        <f>C4*(1+Assumptions!$B$14)</f>
        <v>561.80000000000007</v>
      </c>
      <c r="E4" s="8">
        <f>D4*(1+Assumptions!$B$14)</f>
        <v>595.50800000000015</v>
      </c>
      <c r="F4" s="8">
        <f>E4*(1+Assumptions!$B$14)</f>
        <v>631.23848000000021</v>
      </c>
      <c r="G4" s="8">
        <f>F4*(1+Assumptions!$B$14)</f>
        <v>669.1127888000002</v>
      </c>
    </row>
    <row r="5" spans="1:8" x14ac:dyDescent="0.2">
      <c r="A5" s="2" t="s">
        <v>48</v>
      </c>
      <c r="B5" s="14"/>
      <c r="C5" s="14">
        <f>C4/B4-1</f>
        <v>6.0000000000000053E-2</v>
      </c>
      <c r="D5" s="14">
        <f>D4/C4-1</f>
        <v>6.0000000000000053E-2</v>
      </c>
      <c r="E5" s="14">
        <f>E4/D4-1</f>
        <v>6.0000000000000053E-2</v>
      </c>
      <c r="F5" s="14">
        <f>F4/E4-1</f>
        <v>6.0000000000000053E-2</v>
      </c>
      <c r="G5" s="14">
        <f>G4/F4-1</f>
        <v>6.0000000000000053E-2</v>
      </c>
    </row>
    <row r="6" spans="1:8" x14ac:dyDescent="0.2">
      <c r="A6" s="2" t="s">
        <v>49</v>
      </c>
      <c r="B6" s="14">
        <f>Assumptions!$B$15</f>
        <v>0.22</v>
      </c>
      <c r="C6" s="14">
        <f>B6+Assumptions!$B$16</f>
        <v>0.2225</v>
      </c>
      <c r="D6" s="14">
        <f>C6+Assumptions!$B$16</f>
        <v>0.22500000000000001</v>
      </c>
      <c r="E6" s="14">
        <f>D6+Assumptions!$B$16</f>
        <v>0.22750000000000001</v>
      </c>
      <c r="F6" s="14">
        <f>E6+Assumptions!$B$16</f>
        <v>0.23</v>
      </c>
      <c r="G6" s="14">
        <f>F6+Assumptions!$B$16</f>
        <v>0.23250000000000001</v>
      </c>
    </row>
    <row r="7" spans="1:8" x14ac:dyDescent="0.2">
      <c r="A7" s="7" t="s">
        <v>50</v>
      </c>
      <c r="B7" s="8">
        <f t="shared" ref="B7:G7" si="0">B4*B6</f>
        <v>110</v>
      </c>
      <c r="C7" s="8">
        <f t="shared" si="0"/>
        <v>117.925</v>
      </c>
      <c r="D7" s="8">
        <f t="shared" si="0"/>
        <v>126.40500000000002</v>
      </c>
      <c r="E7" s="8">
        <f t="shared" si="0"/>
        <v>135.47807000000003</v>
      </c>
      <c r="F7" s="8">
        <f t="shared" si="0"/>
        <v>145.18485040000004</v>
      </c>
      <c r="G7" s="8">
        <f t="shared" si="0"/>
        <v>155.56872339600005</v>
      </c>
    </row>
    <row r="8" spans="1:8" x14ac:dyDescent="0.2">
      <c r="A8" s="2" t="s">
        <v>51</v>
      </c>
      <c r="B8" s="9">
        <f>-B4*Assumptions!$B$17</f>
        <v>-17.5</v>
      </c>
      <c r="C8" s="9">
        <f>-C4*Assumptions!$B$17</f>
        <v>-18.55</v>
      </c>
      <c r="D8" s="9">
        <f>-D4*Assumptions!$B$17</f>
        <v>-19.663000000000004</v>
      </c>
      <c r="E8" s="9">
        <f>-E4*Assumptions!$B$17</f>
        <v>-20.842780000000008</v>
      </c>
      <c r="F8" s="9">
        <f>-F4*Assumptions!$B$17</f>
        <v>-22.09334680000001</v>
      </c>
      <c r="G8" s="9">
        <f>-G4*Assumptions!$B$17</f>
        <v>-23.418947608000011</v>
      </c>
    </row>
    <row r="9" spans="1:8" x14ac:dyDescent="0.2">
      <c r="A9" s="2" t="s">
        <v>52</v>
      </c>
      <c r="B9" s="9">
        <f t="shared" ref="B9:G9" si="1">B7+B8</f>
        <v>92.5</v>
      </c>
      <c r="C9" s="9">
        <f t="shared" si="1"/>
        <v>99.375</v>
      </c>
      <c r="D9" s="9">
        <f t="shared" si="1"/>
        <v>106.74200000000002</v>
      </c>
      <c r="E9" s="9">
        <f t="shared" si="1"/>
        <v>114.63529000000003</v>
      </c>
      <c r="F9" s="9">
        <f t="shared" si="1"/>
        <v>123.09150360000004</v>
      </c>
      <c r="G9" s="9">
        <f t="shared" si="1"/>
        <v>132.14977578800006</v>
      </c>
    </row>
    <row r="10" spans="1:8" x14ac:dyDescent="0.2">
      <c r="A10" s="2" t="s">
        <v>53</v>
      </c>
      <c r="B10" s="9">
        <v>0</v>
      </c>
      <c r="C10" s="9">
        <f>-'Debt Schedule'!C28</f>
        <v>-60.225000000000001</v>
      </c>
      <c r="D10" s="9">
        <f>-'Debt Schedule'!D28</f>
        <v>-57.8864375</v>
      </c>
      <c r="E10" s="9">
        <f>-'Debt Schedule'!E28</f>
        <v>-54.938580390625006</v>
      </c>
      <c r="F10" s="9">
        <f>-'Debt Schedule'!F28</f>
        <v>-51.309601253027353</v>
      </c>
      <c r="G10" s="9">
        <f>-'Debt Schedule'!G28</f>
        <v>-46.920792244407835</v>
      </c>
    </row>
    <row r="11" spans="1:8" x14ac:dyDescent="0.2">
      <c r="A11" s="2" t="s">
        <v>54</v>
      </c>
      <c r="B11" s="9">
        <f t="shared" ref="B11:G11" si="2">B9+B10</f>
        <v>92.5</v>
      </c>
      <c r="C11" s="9">
        <f t="shared" si="2"/>
        <v>39.15</v>
      </c>
      <c r="D11" s="9">
        <f t="shared" si="2"/>
        <v>48.855562500000019</v>
      </c>
      <c r="E11" s="9">
        <f t="shared" si="2"/>
        <v>59.69670960937502</v>
      </c>
      <c r="F11" s="9">
        <f t="shared" si="2"/>
        <v>71.781902346972686</v>
      </c>
      <c r="G11" s="9">
        <f t="shared" si="2"/>
        <v>85.228983543592221</v>
      </c>
    </row>
    <row r="12" spans="1:8" x14ac:dyDescent="0.2">
      <c r="A12" s="2" t="s">
        <v>55</v>
      </c>
      <c r="B12" s="9">
        <f>-MAX(B11,0)*Assumptions!$B$20</f>
        <v>-23.125</v>
      </c>
      <c r="C12" s="9">
        <f>-MAX(C11,0)*Assumptions!$B$20</f>
        <v>-9.7874999999999996</v>
      </c>
      <c r="D12" s="9">
        <f>-MAX(D11,0)*Assumptions!$B$20</f>
        <v>-12.213890625000005</v>
      </c>
      <c r="E12" s="9">
        <f>-MAX(E11,0)*Assumptions!$B$20</f>
        <v>-14.924177402343755</v>
      </c>
      <c r="F12" s="9">
        <f>-MAX(F11,0)*Assumptions!$B$20</f>
        <v>-17.945475586743171</v>
      </c>
      <c r="G12" s="9">
        <f>-MAX(G11,0)*Assumptions!$B$20</f>
        <v>-21.307245885898055</v>
      </c>
    </row>
    <row r="13" spans="1:8" x14ac:dyDescent="0.2">
      <c r="A13" s="7" t="s">
        <v>56</v>
      </c>
      <c r="B13" s="8">
        <f t="shared" ref="B13:G13" si="3">B11+B12</f>
        <v>69.375</v>
      </c>
      <c r="C13" s="8">
        <f t="shared" si="3"/>
        <v>29.362499999999997</v>
      </c>
      <c r="D13" s="8">
        <f t="shared" si="3"/>
        <v>36.641671875000014</v>
      </c>
      <c r="E13" s="8">
        <f t="shared" si="3"/>
        <v>44.772532207031261</v>
      </c>
      <c r="F13" s="8">
        <f t="shared" si="3"/>
        <v>53.836426760229514</v>
      </c>
      <c r="G13" s="8">
        <f t="shared" si="3"/>
        <v>63.921737657694166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2" customWidth="1"/>
    <col min="2" max="7" width="14" customWidth="1"/>
  </cols>
  <sheetData>
    <row r="1" spans="1:8" ht="19" x14ac:dyDescent="0.25">
      <c r="A1" s="20" t="s">
        <v>57</v>
      </c>
      <c r="B1" s="19"/>
      <c r="C1" s="19"/>
      <c r="D1" s="19"/>
      <c r="E1" s="19"/>
      <c r="F1" s="19"/>
      <c r="G1" s="19"/>
      <c r="H1" s="19"/>
    </row>
    <row r="3" spans="1:8" x14ac:dyDescent="0.2">
      <c r="A3" s="7" t="s">
        <v>46</v>
      </c>
      <c r="B3" s="13">
        <f>'Operating Model'!B3</f>
        <v>2026</v>
      </c>
      <c r="C3" s="13">
        <f>'Operating Model'!C3</f>
        <v>2027</v>
      </c>
      <c r="D3" s="13">
        <f>'Operating Model'!D3</f>
        <v>2028</v>
      </c>
      <c r="E3" s="13">
        <f>'Operating Model'!E3</f>
        <v>2029</v>
      </c>
      <c r="F3" s="13">
        <f>'Operating Model'!F3</f>
        <v>2030</v>
      </c>
      <c r="G3" s="13">
        <f>'Operating Model'!G3</f>
        <v>2031</v>
      </c>
    </row>
    <row r="4" spans="1:8" x14ac:dyDescent="0.2">
      <c r="A4" s="2" t="s">
        <v>56</v>
      </c>
      <c r="B4" s="9">
        <v>0</v>
      </c>
      <c r="C4" s="9">
        <f>'Operating Model'!C13</f>
        <v>29.362499999999997</v>
      </c>
      <c r="D4" s="9">
        <f>'Operating Model'!D13</f>
        <v>36.641671875000014</v>
      </c>
      <c r="E4" s="9">
        <f>'Operating Model'!E13</f>
        <v>44.772532207031261</v>
      </c>
      <c r="F4" s="9">
        <f>'Operating Model'!F13</f>
        <v>53.836426760229514</v>
      </c>
      <c r="G4" s="9">
        <f>'Operating Model'!G13</f>
        <v>63.921737657694166</v>
      </c>
    </row>
    <row r="5" spans="1:8" x14ac:dyDescent="0.2">
      <c r="A5" s="2" t="s">
        <v>58</v>
      </c>
      <c r="B5" s="9">
        <v>0</v>
      </c>
      <c r="C5" s="9">
        <f>-'Operating Model'!C8</f>
        <v>18.55</v>
      </c>
      <c r="D5" s="9">
        <f>-'Operating Model'!D8</f>
        <v>19.663000000000004</v>
      </c>
      <c r="E5" s="9">
        <f>-'Operating Model'!E8</f>
        <v>20.842780000000008</v>
      </c>
      <c r="F5" s="9">
        <f>-'Operating Model'!F8</f>
        <v>22.09334680000001</v>
      </c>
      <c r="G5" s="9">
        <f>-'Operating Model'!G8</f>
        <v>23.418947608000011</v>
      </c>
    </row>
    <row r="6" spans="1:8" x14ac:dyDescent="0.2">
      <c r="A6" s="2" t="s">
        <v>59</v>
      </c>
      <c r="B6" s="9">
        <v>0</v>
      </c>
      <c r="C6" s="9">
        <f>-'Operating Model'!C4*Assumptions!$B$18</f>
        <v>-15.899999999999999</v>
      </c>
      <c r="D6" s="9">
        <f>-'Operating Model'!D4*Assumptions!$B$18</f>
        <v>-16.854000000000003</v>
      </c>
      <c r="E6" s="9">
        <f>-'Operating Model'!E4*Assumptions!$B$18</f>
        <v>-17.865240000000004</v>
      </c>
      <c r="F6" s="9">
        <f>-'Operating Model'!F4*Assumptions!$B$18</f>
        <v>-18.937154400000004</v>
      </c>
      <c r="G6" s="9">
        <f>-'Operating Model'!G4*Assumptions!$B$18</f>
        <v>-20.073383664000005</v>
      </c>
    </row>
    <row r="7" spans="1:8" x14ac:dyDescent="0.2">
      <c r="A7" s="2" t="s">
        <v>60</v>
      </c>
      <c r="B7" s="9">
        <v>0</v>
      </c>
      <c r="C7" s="9">
        <f>-('Operating Model'!C4-'Operating Model'!B4)*Assumptions!$B$19</f>
        <v>-4.5</v>
      </c>
      <c r="D7" s="9">
        <f>-('Operating Model'!D4-'Operating Model'!C4)*Assumptions!$B$19</f>
        <v>-4.7700000000000102</v>
      </c>
      <c r="E7" s="9">
        <f>-('Operating Model'!E4-'Operating Model'!D4)*Assumptions!$B$19</f>
        <v>-5.056200000000012</v>
      </c>
      <c r="F7" s="9">
        <f>-('Operating Model'!F4-'Operating Model'!E4)*Assumptions!$B$19</f>
        <v>-5.359572000000008</v>
      </c>
      <c r="G7" s="9">
        <f>-('Operating Model'!G4-'Operating Model'!F4)*Assumptions!$B$19</f>
        <v>-5.681146319999999</v>
      </c>
    </row>
    <row r="8" spans="1:8" x14ac:dyDescent="0.2">
      <c r="A8" s="7" t="s">
        <v>61</v>
      </c>
      <c r="B8" s="8">
        <f t="shared" ref="B8:G8" si="0">B4+B5+B6+B7</f>
        <v>0</v>
      </c>
      <c r="C8" s="8">
        <f t="shared" si="0"/>
        <v>27.512499999999996</v>
      </c>
      <c r="D8" s="8">
        <f t="shared" si="0"/>
        <v>34.680671875000002</v>
      </c>
      <c r="E8" s="8">
        <f t="shared" si="0"/>
        <v>42.693872207031255</v>
      </c>
      <c r="F8" s="8">
        <f t="shared" si="0"/>
        <v>51.633047160229509</v>
      </c>
      <c r="G8" s="8">
        <f t="shared" si="0"/>
        <v>61.586155281694175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2" customWidth="1"/>
    <col min="2" max="7" width="14" customWidth="1"/>
  </cols>
  <sheetData>
    <row r="1" spans="1:8" ht="19" x14ac:dyDescent="0.25">
      <c r="A1" s="20" t="s">
        <v>62</v>
      </c>
      <c r="B1" s="19"/>
      <c r="C1" s="19"/>
      <c r="D1" s="19"/>
      <c r="E1" s="19"/>
      <c r="F1" s="19"/>
      <c r="G1" s="19"/>
      <c r="H1" s="19"/>
    </row>
    <row r="3" spans="1:8" x14ac:dyDescent="0.2">
      <c r="A3" s="7" t="s">
        <v>46</v>
      </c>
      <c r="B3" s="13">
        <f>'Operating Model'!B3</f>
        <v>2026</v>
      </c>
      <c r="C3" s="13">
        <f>'Operating Model'!C3</f>
        <v>2027</v>
      </c>
      <c r="D3" s="13">
        <f>'Operating Model'!D3</f>
        <v>2028</v>
      </c>
      <c r="E3" s="13">
        <f>'Operating Model'!E3</f>
        <v>2029</v>
      </c>
      <c r="F3" s="13">
        <f>'Operating Model'!F3</f>
        <v>2030</v>
      </c>
      <c r="G3" s="13">
        <f>'Operating Model'!G3</f>
        <v>2031</v>
      </c>
    </row>
    <row r="5" spans="1:8" x14ac:dyDescent="0.2">
      <c r="A5" s="2" t="s">
        <v>63</v>
      </c>
      <c r="B5" s="9">
        <v>0</v>
      </c>
      <c r="C5" s="9">
        <f>'Free Cash Flow'!C8</f>
        <v>27.512499999999996</v>
      </c>
      <c r="D5" s="9">
        <f>'Free Cash Flow'!D8</f>
        <v>34.680671875000002</v>
      </c>
      <c r="E5" s="9">
        <f>'Free Cash Flow'!E8</f>
        <v>42.693872207031255</v>
      </c>
      <c r="F5" s="9">
        <f>'Free Cash Flow'!F8</f>
        <v>51.633047160229509</v>
      </c>
      <c r="G5" s="9">
        <f>'Free Cash Flow'!G8</f>
        <v>61.586155281694175</v>
      </c>
    </row>
    <row r="6" spans="1:8" x14ac:dyDescent="0.2">
      <c r="A6" s="2" t="s">
        <v>64</v>
      </c>
      <c r="B6" s="9">
        <v>0</v>
      </c>
      <c r="C6" s="9">
        <f>C11</f>
        <v>-4.95</v>
      </c>
      <c r="D6" s="9">
        <f>D11</f>
        <v>-4.95</v>
      </c>
      <c r="E6" s="9">
        <f>E11</f>
        <v>-4.95</v>
      </c>
      <c r="F6" s="9">
        <f>F11</f>
        <v>-4.95</v>
      </c>
      <c r="G6" s="9">
        <f>G11</f>
        <v>-4.95</v>
      </c>
    </row>
    <row r="7" spans="1:8" x14ac:dyDescent="0.2">
      <c r="A7" s="2" t="s">
        <v>65</v>
      </c>
      <c r="B7" s="9">
        <v>0</v>
      </c>
      <c r="C7" s="9">
        <f>MAX(C5+C6,0)*Assumptions!$B$30</f>
        <v>22.562499999999996</v>
      </c>
      <c r="D7" s="9">
        <f>MAX(D5+D6,0)*Assumptions!$B$30</f>
        <v>29.730671875000002</v>
      </c>
      <c r="E7" s="9">
        <f>MAX(E5+E6,0)*Assumptions!$B$30</f>
        <v>37.743872207031252</v>
      </c>
      <c r="F7" s="9">
        <f>MAX(F5+F6,0)*Assumptions!$B$30</f>
        <v>46.683047160229506</v>
      </c>
      <c r="G7" s="9">
        <f>MAX(G5+G6,0)*Assumptions!$B$30</f>
        <v>56.636155281694172</v>
      </c>
    </row>
    <row r="9" spans="1:8" x14ac:dyDescent="0.2">
      <c r="A9" s="18" t="s">
        <v>36</v>
      </c>
      <c r="B9" s="19"/>
      <c r="C9" s="19"/>
      <c r="D9" s="19"/>
      <c r="E9" s="19"/>
      <c r="F9" s="19"/>
      <c r="G9" s="19"/>
      <c r="H9" s="19"/>
    </row>
    <row r="10" spans="1:8" x14ac:dyDescent="0.2">
      <c r="A10" s="2" t="s">
        <v>66</v>
      </c>
      <c r="B10" s="9">
        <v>0</v>
      </c>
      <c r="C10" s="9">
        <f>B13</f>
        <v>495</v>
      </c>
      <c r="D10" s="9">
        <f>C13</f>
        <v>467.48750000000001</v>
      </c>
      <c r="E10" s="9">
        <f>D13</f>
        <v>432.80682812500004</v>
      </c>
      <c r="F10" s="9">
        <f>E13</f>
        <v>390.1129559179688</v>
      </c>
      <c r="G10" s="9">
        <f>F13</f>
        <v>338.47990875773928</v>
      </c>
    </row>
    <row r="11" spans="1:8" x14ac:dyDescent="0.2">
      <c r="A11" s="2" t="s">
        <v>67</v>
      </c>
      <c r="B11" s="9">
        <v>0</v>
      </c>
      <c r="C11" s="9">
        <f>-MIN('Sources &amp; Uses'!$B$12*Assumptions!$B$25,C10)</f>
        <v>-4.95</v>
      </c>
      <c r="D11" s="9">
        <f>-MIN('Sources &amp; Uses'!$B$12*Assumptions!$B$25,D10)</f>
        <v>-4.95</v>
      </c>
      <c r="E11" s="9">
        <f>-MIN('Sources &amp; Uses'!$B$12*Assumptions!$B$25,E10)</f>
        <v>-4.95</v>
      </c>
      <c r="F11" s="9">
        <f>-MIN('Sources &amp; Uses'!$B$12*Assumptions!$B$25,F10)</f>
        <v>-4.95</v>
      </c>
      <c r="G11" s="9">
        <f>-MIN('Sources &amp; Uses'!$B$12*Assumptions!$B$25,G10)</f>
        <v>-4.95</v>
      </c>
    </row>
    <row r="12" spans="1:8" x14ac:dyDescent="0.2">
      <c r="A12" s="2" t="s">
        <v>68</v>
      </c>
      <c r="B12" s="9">
        <v>0</v>
      </c>
      <c r="C12" s="9">
        <f>-MIN(MAX(C7,0),C10+C11)</f>
        <v>-22.562499999999996</v>
      </c>
      <c r="D12" s="9">
        <f>-MIN(MAX(D7,0),D10+D11)</f>
        <v>-29.730671875000002</v>
      </c>
      <c r="E12" s="9">
        <f>-MIN(MAX(E7,0),E10+E11)</f>
        <v>-37.743872207031252</v>
      </c>
      <c r="F12" s="9">
        <f>-MIN(MAX(F7,0),F10+F11)</f>
        <v>-46.683047160229506</v>
      </c>
      <c r="G12" s="9">
        <f>-MIN(MAX(G7,0),G10+G11)</f>
        <v>-56.636155281694172</v>
      </c>
    </row>
    <row r="13" spans="1:8" x14ac:dyDescent="0.2">
      <c r="A13" s="7" t="s">
        <v>69</v>
      </c>
      <c r="B13" s="8">
        <f>'Sources &amp; Uses'!$B$12</f>
        <v>495</v>
      </c>
      <c r="C13" s="8">
        <f>C10+C11+C12</f>
        <v>467.48750000000001</v>
      </c>
      <c r="D13" s="8">
        <f>D10+D11+D12</f>
        <v>432.80682812500004</v>
      </c>
      <c r="E13" s="8">
        <f>E10+E11+E12</f>
        <v>390.1129559179688</v>
      </c>
      <c r="F13" s="8">
        <f>F10+F11+F12</f>
        <v>338.47990875773928</v>
      </c>
      <c r="G13" s="8">
        <f>G10+G11+G12</f>
        <v>276.89375347604511</v>
      </c>
    </row>
    <row r="14" spans="1:8" x14ac:dyDescent="0.2">
      <c r="A14" s="2" t="s">
        <v>70</v>
      </c>
      <c r="B14" s="9">
        <v>0</v>
      </c>
      <c r="C14" s="9">
        <f>C10*Assumptions!$B$24</f>
        <v>42.075000000000003</v>
      </c>
      <c r="D14" s="9">
        <f>D10*Assumptions!$B$24</f>
        <v>39.736437500000001</v>
      </c>
      <c r="E14" s="9">
        <f>E10*Assumptions!$B$24</f>
        <v>36.788580390625008</v>
      </c>
      <c r="F14" s="9">
        <f>F10*Assumptions!$B$24</f>
        <v>33.159601253027354</v>
      </c>
      <c r="G14" s="9">
        <f>G10*Assumptions!$B$24</f>
        <v>28.77079224440784</v>
      </c>
    </row>
    <row r="16" spans="1:8" x14ac:dyDescent="0.2">
      <c r="A16" s="18" t="s">
        <v>37</v>
      </c>
      <c r="B16" s="19"/>
      <c r="C16" s="19"/>
      <c r="D16" s="19"/>
      <c r="E16" s="19"/>
      <c r="F16" s="19"/>
      <c r="G16" s="19"/>
      <c r="H16" s="19"/>
    </row>
    <row r="17" spans="1:8" x14ac:dyDescent="0.2">
      <c r="A17" s="2" t="s">
        <v>66</v>
      </c>
      <c r="B17" s="9">
        <v>0</v>
      </c>
      <c r="C17" s="9">
        <f>B19</f>
        <v>165</v>
      </c>
      <c r="D17" s="9">
        <f>C19</f>
        <v>165</v>
      </c>
      <c r="E17" s="9">
        <f>D19</f>
        <v>165</v>
      </c>
      <c r="F17" s="9">
        <f>E19</f>
        <v>165</v>
      </c>
      <c r="G17" s="9">
        <f>F19</f>
        <v>165</v>
      </c>
    </row>
    <row r="18" spans="1:8" x14ac:dyDescent="0.2">
      <c r="A18" s="2" t="s">
        <v>71</v>
      </c>
      <c r="B18" s="9">
        <v>0</v>
      </c>
      <c r="C18" s="9">
        <f>-MIN(MAX(C7+C12,0),C17)</f>
        <v>0</v>
      </c>
      <c r="D18" s="9">
        <f>-MIN(MAX(D7+D12,0),D17)</f>
        <v>0</v>
      </c>
      <c r="E18" s="9">
        <f>-MIN(MAX(E7+E12,0),E17)</f>
        <v>0</v>
      </c>
      <c r="F18" s="9">
        <f>-MIN(MAX(F7+F12,0),F17)</f>
        <v>0</v>
      </c>
      <c r="G18" s="9">
        <f>-MIN(MAX(G7+G12,0),G17)</f>
        <v>0</v>
      </c>
    </row>
    <row r="19" spans="1:8" x14ac:dyDescent="0.2">
      <c r="A19" s="7" t="s">
        <v>69</v>
      </c>
      <c r="B19" s="8">
        <f>'Sources &amp; Uses'!$B$13</f>
        <v>165</v>
      </c>
      <c r="C19" s="8">
        <f>C17+C18</f>
        <v>165</v>
      </c>
      <c r="D19" s="8">
        <f>D17+D18</f>
        <v>165</v>
      </c>
      <c r="E19" s="8">
        <f>E17+E18</f>
        <v>165</v>
      </c>
      <c r="F19" s="8">
        <f>F17+F18</f>
        <v>165</v>
      </c>
      <c r="G19" s="8">
        <f>G17+G18</f>
        <v>165</v>
      </c>
    </row>
    <row r="20" spans="1:8" x14ac:dyDescent="0.2">
      <c r="A20" s="2" t="s">
        <v>70</v>
      </c>
      <c r="B20" s="9">
        <v>0</v>
      </c>
      <c r="C20" s="9">
        <f>C17*Assumptions!$B$27</f>
        <v>18.149999999999999</v>
      </c>
      <c r="D20" s="9">
        <f>D17*Assumptions!$B$27</f>
        <v>18.149999999999999</v>
      </c>
      <c r="E20" s="9">
        <f>E17*Assumptions!$B$27</f>
        <v>18.149999999999999</v>
      </c>
      <c r="F20" s="9">
        <f>F17*Assumptions!$B$27</f>
        <v>18.149999999999999</v>
      </c>
      <c r="G20" s="9">
        <f>G17*Assumptions!$B$27</f>
        <v>18.149999999999999</v>
      </c>
    </row>
    <row r="22" spans="1:8" x14ac:dyDescent="0.2">
      <c r="A22" s="18" t="s">
        <v>72</v>
      </c>
      <c r="B22" s="19"/>
      <c r="C22" s="19"/>
      <c r="D22" s="19"/>
      <c r="E22" s="19"/>
      <c r="F22" s="19"/>
      <c r="G22" s="19"/>
      <c r="H22" s="19"/>
    </row>
    <row r="23" spans="1:8" x14ac:dyDescent="0.2">
      <c r="A23" s="2" t="s">
        <v>66</v>
      </c>
      <c r="B23" s="9">
        <v>0</v>
      </c>
      <c r="C23" s="9">
        <f>B25</f>
        <v>0</v>
      </c>
      <c r="D23" s="9">
        <f>C25</f>
        <v>0</v>
      </c>
      <c r="E23" s="9">
        <f>D25</f>
        <v>0</v>
      </c>
      <c r="F23" s="9">
        <f>E25</f>
        <v>0</v>
      </c>
      <c r="G23" s="9">
        <f>F25</f>
        <v>0</v>
      </c>
    </row>
    <row r="24" spans="1:8" x14ac:dyDescent="0.2">
      <c r="A24" s="2" t="s">
        <v>73</v>
      </c>
      <c r="B24" s="9">
        <f>'Sources &amp; Uses'!$B$14</f>
        <v>0</v>
      </c>
      <c r="C24" s="9">
        <f>-(MIN(C5+C6+C12+C18,0))</f>
        <v>0</v>
      </c>
      <c r="D24" s="9">
        <f>-(MIN(D5+D6+D12+D18,0))</f>
        <v>0</v>
      </c>
      <c r="E24" s="9">
        <f>-(MIN(E5+E6+E12+E18,0))</f>
        <v>0</v>
      </c>
      <c r="F24" s="9">
        <f>-(MIN(F5+F6+F12+F18,0))</f>
        <v>0</v>
      </c>
      <c r="G24" s="9">
        <f>-(MIN(G5+G6+G12+G18,0))</f>
        <v>0</v>
      </c>
    </row>
    <row r="25" spans="1:8" x14ac:dyDescent="0.2">
      <c r="A25" s="7" t="s">
        <v>69</v>
      </c>
      <c r="B25" s="8">
        <f>B23+B24</f>
        <v>0</v>
      </c>
      <c r="C25" s="8">
        <f>MAX(C23+C24,0)</f>
        <v>0</v>
      </c>
      <c r="D25" s="8">
        <f>MAX(D23+D24,0)</f>
        <v>0</v>
      </c>
      <c r="E25" s="8">
        <f>MAX(E23+E24,0)</f>
        <v>0</v>
      </c>
      <c r="F25" s="8">
        <f>MAX(F23+F24,0)</f>
        <v>0</v>
      </c>
      <c r="G25" s="8">
        <f>MAX(G23+G24,0)</f>
        <v>0</v>
      </c>
    </row>
    <row r="26" spans="1:8" x14ac:dyDescent="0.2">
      <c r="A26" s="2" t="s">
        <v>70</v>
      </c>
      <c r="B26" s="9">
        <v>0</v>
      </c>
      <c r="C26" s="9">
        <f>C23*Assumptions!$B$28</f>
        <v>0</v>
      </c>
      <c r="D26" s="9">
        <f>D23*Assumptions!$B$28</f>
        <v>0</v>
      </c>
      <c r="E26" s="9">
        <f>E23*Assumptions!$B$28</f>
        <v>0</v>
      </c>
      <c r="F26" s="9">
        <f>F23*Assumptions!$B$28</f>
        <v>0</v>
      </c>
      <c r="G26" s="9">
        <f>G23*Assumptions!$B$28</f>
        <v>0</v>
      </c>
    </row>
    <row r="28" spans="1:8" x14ac:dyDescent="0.2">
      <c r="A28" s="10" t="s">
        <v>74</v>
      </c>
      <c r="B28" s="11">
        <f t="shared" ref="B28:G28" si="0">B14+B20+B26</f>
        <v>0</v>
      </c>
      <c r="C28" s="11">
        <f t="shared" si="0"/>
        <v>60.225000000000001</v>
      </c>
      <c r="D28" s="11">
        <f t="shared" si="0"/>
        <v>57.8864375</v>
      </c>
      <c r="E28" s="11">
        <f t="shared" si="0"/>
        <v>54.938580390625006</v>
      </c>
      <c r="F28" s="11">
        <f t="shared" si="0"/>
        <v>51.309601253027353</v>
      </c>
      <c r="G28" s="11">
        <f t="shared" si="0"/>
        <v>46.920792244407835</v>
      </c>
    </row>
    <row r="29" spans="1:8" x14ac:dyDescent="0.2">
      <c r="A29" s="10" t="s">
        <v>75</v>
      </c>
      <c r="B29" s="11">
        <f t="shared" ref="B29:G29" si="1">B13+B19+B25</f>
        <v>660</v>
      </c>
      <c r="C29" s="11">
        <f t="shared" si="1"/>
        <v>632.48749999999995</v>
      </c>
      <c r="D29" s="11">
        <f t="shared" si="1"/>
        <v>597.80682812500004</v>
      </c>
      <c r="E29" s="11">
        <f t="shared" si="1"/>
        <v>555.11295591796875</v>
      </c>
      <c r="F29" s="11">
        <f t="shared" si="1"/>
        <v>503.47990875773928</v>
      </c>
      <c r="G29" s="11">
        <f t="shared" si="1"/>
        <v>441.89375347604511</v>
      </c>
    </row>
    <row r="30" spans="1:8" x14ac:dyDescent="0.2">
      <c r="A30" s="2" t="s">
        <v>76</v>
      </c>
      <c r="B30" s="9">
        <f>Assumptions!$B$29</f>
        <v>10</v>
      </c>
      <c r="C30" s="9">
        <f>B30+MAX(C5+C6+C12+C18,0)*(1-Assumptions!$B$30)</f>
        <v>10</v>
      </c>
      <c r="D30" s="9">
        <f>C30+MAX(D5+D6+D12+D18,0)*(1-Assumptions!$B$30)</f>
        <v>10</v>
      </c>
      <c r="E30" s="9">
        <f>D30+MAX(E5+E6+E12+E18,0)*(1-Assumptions!$B$30)</f>
        <v>10</v>
      </c>
      <c r="F30" s="9">
        <f>E30+MAX(F5+F6+F12+F18,0)*(1-Assumptions!$B$30)</f>
        <v>10</v>
      </c>
      <c r="G30" s="9">
        <f>F30+MAX(G5+G6+G12+G18,0)*(1-Assumptions!$B$30)</f>
        <v>10</v>
      </c>
    </row>
    <row r="31" spans="1:8" x14ac:dyDescent="0.2">
      <c r="A31" s="10" t="s">
        <v>77</v>
      </c>
      <c r="B31" s="11">
        <f t="shared" ref="B31:G31" si="2">B29-B30</f>
        <v>650</v>
      </c>
      <c r="C31" s="11">
        <f t="shared" si="2"/>
        <v>622.48749999999995</v>
      </c>
      <c r="D31" s="11">
        <f t="shared" si="2"/>
        <v>587.80682812500004</v>
      </c>
      <c r="E31" s="11">
        <f t="shared" si="2"/>
        <v>545.11295591796875</v>
      </c>
      <c r="F31" s="11">
        <f t="shared" si="2"/>
        <v>493.47990875773928</v>
      </c>
      <c r="G31" s="11">
        <f t="shared" si="2"/>
        <v>431.89375347604511</v>
      </c>
    </row>
    <row r="32" spans="1:8" x14ac:dyDescent="0.2">
      <c r="A32" s="2" t="s">
        <v>78</v>
      </c>
      <c r="B32" s="12">
        <f>B31/'Operating Model'!B7</f>
        <v>5.9090909090909092</v>
      </c>
      <c r="C32" s="12">
        <f>C31/'Operating Model'!C7</f>
        <v>5.2786728853084588</v>
      </c>
      <c r="D32" s="12">
        <f>D31/'Operating Model'!D7</f>
        <v>4.6501865284205524</v>
      </c>
      <c r="E32" s="12">
        <f>E31/'Operating Model'!E7</f>
        <v>4.0236250480831961</v>
      </c>
      <c r="F32" s="12">
        <f>F31/'Operating Model'!F7</f>
        <v>3.3989765970633194</v>
      </c>
      <c r="G32" s="12">
        <f>G31/'Operating Model'!G7</f>
        <v>2.776224835223851</v>
      </c>
    </row>
  </sheetData>
  <mergeCells count="4">
    <mergeCell ref="A9:H9"/>
    <mergeCell ref="A16:H16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32" customWidth="1"/>
    <col min="2" max="3" width="16" customWidth="1"/>
  </cols>
  <sheetData>
    <row r="1" spans="1:8" ht="19" x14ac:dyDescent="0.25">
      <c r="A1" s="20" t="s">
        <v>79</v>
      </c>
      <c r="B1" s="19"/>
      <c r="C1" s="19"/>
      <c r="D1" s="19"/>
      <c r="E1" s="19"/>
      <c r="F1" s="19"/>
      <c r="G1" s="19"/>
      <c r="H1" s="19"/>
    </row>
    <row r="3" spans="1:8" x14ac:dyDescent="0.2">
      <c r="A3" s="7" t="s">
        <v>80</v>
      </c>
      <c r="B3" s="13">
        <f>'Operating Model'!G3</f>
        <v>2031</v>
      </c>
    </row>
    <row r="4" spans="1:8" x14ac:dyDescent="0.2">
      <c r="A4" s="2" t="s">
        <v>81</v>
      </c>
      <c r="B4" s="9">
        <f>'Operating Model'!G7</f>
        <v>155.56872339600005</v>
      </c>
    </row>
    <row r="5" spans="1:8" x14ac:dyDescent="0.2">
      <c r="A5" s="2" t="s">
        <v>82</v>
      </c>
      <c r="B5" s="12">
        <f>Assumptions!$B$8</f>
        <v>9</v>
      </c>
    </row>
    <row r="6" spans="1:8" x14ac:dyDescent="0.2">
      <c r="A6" s="7" t="s">
        <v>83</v>
      </c>
      <c r="B6" s="8">
        <f>B4*Assumptions!$B$8</f>
        <v>1400.1185105640004</v>
      </c>
    </row>
    <row r="7" spans="1:8" x14ac:dyDescent="0.2">
      <c r="A7" s="2" t="s">
        <v>84</v>
      </c>
      <c r="B7" s="9">
        <f>-'Debt Schedule'!G31</f>
        <v>-431.89375347604511</v>
      </c>
    </row>
    <row r="8" spans="1:8" x14ac:dyDescent="0.2">
      <c r="A8" s="10" t="s">
        <v>85</v>
      </c>
      <c r="B8" s="11">
        <f>B6+B7</f>
        <v>968.22475708795537</v>
      </c>
    </row>
    <row r="10" spans="1:8" x14ac:dyDescent="0.2">
      <c r="A10" s="18" t="s">
        <v>86</v>
      </c>
      <c r="B10" s="19"/>
      <c r="C10" s="19"/>
      <c r="D10" s="19"/>
      <c r="E10" s="19"/>
      <c r="F10" s="19"/>
      <c r="G10" s="19"/>
      <c r="H10" s="19"/>
    </row>
    <row r="11" spans="1:8" x14ac:dyDescent="0.2">
      <c r="A11" s="2" t="s">
        <v>87</v>
      </c>
      <c r="B11" s="9">
        <f>'Sources &amp; Uses'!$B$17</f>
        <v>363</v>
      </c>
    </row>
    <row r="12" spans="1:8" x14ac:dyDescent="0.2">
      <c r="A12" s="2" t="s">
        <v>88</v>
      </c>
      <c r="B12" s="9">
        <f>B8*(1-Assumptions!$B$31)</f>
        <v>968.22475708795537</v>
      </c>
    </row>
    <row r="13" spans="1:8" x14ac:dyDescent="0.2">
      <c r="A13" s="2" t="s">
        <v>4</v>
      </c>
      <c r="B13" s="15">
        <f>Assumptions!$B$6</f>
        <v>5</v>
      </c>
    </row>
    <row r="14" spans="1:8" x14ac:dyDescent="0.2">
      <c r="A14" s="7" t="s">
        <v>89</v>
      </c>
      <c r="B14" s="16">
        <f>B12/B11</f>
        <v>2.6672858321982242</v>
      </c>
    </row>
    <row r="15" spans="1:8" x14ac:dyDescent="0.2">
      <c r="A15" s="10" t="s">
        <v>90</v>
      </c>
      <c r="B15" s="17">
        <f>(B14)^(1/B13)-1</f>
        <v>0.21678518027422289</v>
      </c>
    </row>
    <row r="17" spans="1:8" x14ac:dyDescent="0.2">
      <c r="A17" s="18" t="s">
        <v>91</v>
      </c>
      <c r="B17" s="19"/>
      <c r="C17" s="19"/>
      <c r="D17" s="19"/>
      <c r="E17" s="19"/>
      <c r="F17" s="19"/>
      <c r="G17" s="19"/>
      <c r="H17" s="19"/>
    </row>
    <row r="18" spans="1:8" x14ac:dyDescent="0.2">
      <c r="A18" s="2" t="s">
        <v>92</v>
      </c>
      <c r="B18" s="9">
        <f>-B11</f>
        <v>-363</v>
      </c>
    </row>
    <row r="19" spans="1:8" x14ac:dyDescent="0.2">
      <c r="A19" s="2" t="s">
        <v>93</v>
      </c>
      <c r="B19" s="9">
        <v>0</v>
      </c>
    </row>
    <row r="20" spans="1:8" x14ac:dyDescent="0.2">
      <c r="A20" s="2" t="s">
        <v>94</v>
      </c>
      <c r="B20" s="9">
        <f>B12</f>
        <v>968.22475708795537</v>
      </c>
    </row>
    <row r="22" spans="1:8" x14ac:dyDescent="0.2">
      <c r="A22" s="21" t="s">
        <v>95</v>
      </c>
      <c r="B22" s="19"/>
      <c r="C22" s="19"/>
      <c r="D22" s="19"/>
      <c r="E22" s="19"/>
      <c r="F22" s="19"/>
    </row>
  </sheetData>
  <mergeCells count="4">
    <mergeCell ref="A22:F22"/>
    <mergeCell ref="A10:H10"/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showGridLines="0" tabSelected="1" zoomScale="125" workbookViewId="0">
      <pane xSplit="1" ySplit="3" topLeftCell="B4" activePane="bottomRight" state="frozen"/>
      <selection pane="topRight"/>
      <selection pane="bottomLeft"/>
      <selection pane="bottomRight" activeCell="C19" sqref="C19"/>
    </sheetView>
  </sheetViews>
  <sheetFormatPr baseColWidth="10" defaultColWidth="8.83203125" defaultRowHeight="15" x14ac:dyDescent="0.2"/>
  <cols>
    <col min="1" max="1" width="24" customWidth="1"/>
    <col min="2" max="7" width="13" customWidth="1"/>
  </cols>
  <sheetData>
    <row r="1" spans="1:8" ht="19" x14ac:dyDescent="0.25">
      <c r="A1" s="20" t="s">
        <v>96</v>
      </c>
      <c r="B1" s="19"/>
      <c r="C1" s="19"/>
      <c r="D1" s="19"/>
      <c r="E1" s="19"/>
      <c r="F1" s="19"/>
      <c r="G1" s="19"/>
      <c r="H1" s="19"/>
    </row>
    <row r="2" spans="1:8" x14ac:dyDescent="0.2">
      <c r="A2" s="1" t="s">
        <v>97</v>
      </c>
    </row>
    <row r="4" spans="1:8" x14ac:dyDescent="0.2">
      <c r="A4" s="18" t="s">
        <v>98</v>
      </c>
      <c r="B4" s="19"/>
      <c r="C4" s="19"/>
      <c r="D4" s="19"/>
      <c r="E4" s="19"/>
      <c r="F4" s="19"/>
      <c r="G4" s="19"/>
      <c r="H4" s="19"/>
    </row>
    <row r="5" spans="1:8" x14ac:dyDescent="0.2">
      <c r="B5" s="7" t="s">
        <v>89</v>
      </c>
      <c r="C5" s="16">
        <f>Assumptions!$B$8-1</f>
        <v>8</v>
      </c>
      <c r="D5" s="16">
        <f>Assumptions!$B$8-0.5</f>
        <v>8.5</v>
      </c>
      <c r="E5" s="16">
        <f>Assumptions!$B$8</f>
        <v>9</v>
      </c>
      <c r="F5" s="16">
        <f>Assumptions!$B$8+0.5</f>
        <v>9.5</v>
      </c>
      <c r="G5" s="16">
        <f>Assumptions!$B$8+1</f>
        <v>10</v>
      </c>
    </row>
    <row r="6" spans="1:8" x14ac:dyDescent="0.2">
      <c r="A6" s="22"/>
      <c r="B6" s="23">
        <f>Assumptions!$B$7-1</f>
        <v>8</v>
      </c>
      <c r="C6" s="24">
        <f>('Operating Model'!G7*C$5-'Debt Schedule'!G31)/(('Sources &amp; Uses'!$B$3*$B6*(1+Assumptions!$B$9)+'Sources &amp; Uses'!$B$15*Assumptions!$B$10)-'Sources &amp; Uses'!$B$15)</f>
        <v>3.2402553177510174</v>
      </c>
      <c r="D6" s="24">
        <f>('Operating Model'!G7*D$5-'Debt Schedule'!G31)/(('Sources &amp; Uses'!$B$3*$B6*(1+Assumptions!$B$9)+'Sources &amp; Uses'!$B$15*Assumptions!$B$10)-'Sources &amp; Uses'!$B$15)</f>
        <v>3.5504003005979077</v>
      </c>
      <c r="E6" s="24">
        <f>('Operating Model'!G7*E$5-'Debt Schedule'!G31)/(('Sources &amp; Uses'!$B$3*$B6*(1+Assumptions!$B$9)+'Sources &amp; Uses'!$B$15*Assumptions!$B$10)-'Sources &amp; Uses'!$B$15)</f>
        <v>3.8605452834447971</v>
      </c>
      <c r="F6" s="24">
        <f>('Operating Model'!G7*F$5-'Debt Schedule'!G31)/(('Sources &amp; Uses'!$B$3*$B6*(1+Assumptions!$B$9)+'Sources &amp; Uses'!$B$15*Assumptions!$B$10)-'Sources &amp; Uses'!$B$15)</f>
        <v>4.1706902662916878</v>
      </c>
      <c r="G6" s="24">
        <f>('Operating Model'!G7*G$5-'Debt Schedule'!G31)/(('Sources &amp; Uses'!$B$3*$B6*(1+Assumptions!$B$9)+'Sources &amp; Uses'!$B$15*Assumptions!$B$10)-'Sources &amp; Uses'!$B$15)</f>
        <v>4.4808352491385772</v>
      </c>
      <c r="H6" s="22"/>
    </row>
    <row r="7" spans="1:8" x14ac:dyDescent="0.2">
      <c r="A7" s="22"/>
      <c r="B7" s="23">
        <f>Assumptions!$B$7-0.5</f>
        <v>8.5</v>
      </c>
      <c r="C7" s="24">
        <f>('Operating Model'!G7*C$5-'Debt Schedule'!G31)/(('Sources &amp; Uses'!$B$3*$B7*(1+Assumptions!$B$9)+'Sources &amp; Uses'!$B$15*Assumptions!$B$10)-'Sources &amp; Uses'!$B$15)</f>
        <v>2.6479505822481433</v>
      </c>
      <c r="D7" s="24">
        <f>('Operating Model'!G7*D$5-'Debt Schedule'!G31)/(('Sources &amp; Uses'!$B$3*$B7*(1+Assumptions!$B$9)+'Sources &amp; Uses'!$B$15*Assumptions!$B$10)-'Sources &amp; Uses'!$B$15)</f>
        <v>2.9014023961875375</v>
      </c>
      <c r="E7" s="24">
        <f>('Operating Model'!G7*E$5-'Debt Schedule'!G31)/(('Sources &amp; Uses'!$B$3*$B7*(1+Assumptions!$B$9)+'Sources &amp; Uses'!$B$15*Assumptions!$B$10)-'Sources &amp; Uses'!$B$15)</f>
        <v>3.1548542101269308</v>
      </c>
      <c r="F7" s="24">
        <f>('Operating Model'!G7*F$5-'Debt Schedule'!G31)/(('Sources &amp; Uses'!$B$3*$B7*(1+Assumptions!$B$9)+'Sources &amp; Uses'!$B$15*Assumptions!$B$10)-'Sources &amp; Uses'!$B$15)</f>
        <v>3.408306024066325</v>
      </c>
      <c r="G7" s="24">
        <f>('Operating Model'!G7*G$5-'Debt Schedule'!G31)/(('Sources &amp; Uses'!$B$3*$B7*(1+Assumptions!$B$9)+'Sources &amp; Uses'!$B$15*Assumptions!$B$10)-'Sources &amp; Uses'!$B$15)</f>
        <v>3.6617578380057187</v>
      </c>
      <c r="H7" s="22"/>
    </row>
    <row r="8" spans="1:8" x14ac:dyDescent="0.2">
      <c r="A8" s="22"/>
      <c r="B8" s="23">
        <f>Assumptions!$B$7</f>
        <v>9</v>
      </c>
      <c r="C8" s="24">
        <f>('Operating Model'!G7*C$5-'Debt Schedule'!G31)/(('Sources &amp; Uses'!$B$3*$B8*(1+Assumptions!$B$9)+'Sources &amp; Uses'!$B$15*Assumptions!$B$10)-'Sources &amp; Uses'!$B$15)</f>
        <v>2.2387218559007027</v>
      </c>
      <c r="D8" s="24">
        <f>('Operating Model'!G7*D$5-'Debt Schedule'!G31)/(('Sources &amp; Uses'!$B$3*$B8*(1+Assumptions!$B$9)+'Sources &amp; Uses'!$B$15*Assumptions!$B$10)-'Sources &amp; Uses'!$B$15)</f>
        <v>2.4530038440494635</v>
      </c>
      <c r="E8" s="24">
        <f>('Operating Model'!G7*E$5-'Debt Schedule'!G31)/(('Sources &amp; Uses'!$B$3*$B8*(1+Assumptions!$B$9)+'Sources &amp; Uses'!$B$15*Assumptions!$B$10)-'Sources &amp; Uses'!$B$15)</f>
        <v>2.6672858321982233</v>
      </c>
      <c r="F8" s="24">
        <f>('Operating Model'!G7*F$5-'Debt Schedule'!G31)/(('Sources &amp; Uses'!$B$3*$B8*(1+Assumptions!$B$9)+'Sources &amp; Uses'!$B$15*Assumptions!$B$10)-'Sources &amp; Uses'!$B$15)</f>
        <v>2.8815678203469841</v>
      </c>
      <c r="G8" s="24">
        <f>('Operating Model'!G7*G$5-'Debt Schedule'!G31)/(('Sources &amp; Uses'!$B$3*$B8*(1+Assumptions!$B$9)+'Sources &amp; Uses'!$B$15*Assumptions!$B$10)-'Sources &amp; Uses'!$B$15)</f>
        <v>3.095849808495744</v>
      </c>
      <c r="H8" s="22"/>
    </row>
    <row r="9" spans="1:8" x14ac:dyDescent="0.2">
      <c r="A9" s="22"/>
      <c r="B9" s="23">
        <f>Assumptions!$B$7+0.5</f>
        <v>9.5</v>
      </c>
      <c r="C9" s="24">
        <f>('Operating Model'!G7*C$5-'Debt Schedule'!G31)/(('Sources &amp; Uses'!$B$3*$B9*(1+Assumptions!$B$9)+'Sources &amp; Uses'!$B$15*Assumptions!$B$10)-'Sources &amp; Uses'!$B$15)</f>
        <v>1.9390504263706874</v>
      </c>
      <c r="D9" s="24">
        <f>('Operating Model'!G7*D$5-'Debt Schedule'!G31)/(('Sources &amp; Uses'!$B$3*$B9*(1+Assumptions!$B$9)+'Sources &amp; Uses'!$B$15*Assumptions!$B$10)-'Sources &amp; Uses'!$B$15)</f>
        <v>2.124648998783</v>
      </c>
      <c r="E9" s="24">
        <f>('Operating Model'!G7*E$5-'Debt Schedule'!G31)/(('Sources &amp; Uses'!$B$3*$B9*(1+Assumptions!$B$9)+'Sources &amp; Uses'!$B$15*Assumptions!$B$10)-'Sources &amp; Uses'!$B$15)</f>
        <v>2.3102475711953114</v>
      </c>
      <c r="F9" s="24">
        <f>('Operating Model'!G7*F$5-'Debt Schedule'!G31)/(('Sources &amp; Uses'!$B$3*$B9*(1+Assumptions!$B$9)+'Sources &amp; Uses'!$B$15*Assumptions!$B$10)-'Sources &amp; Uses'!$B$15)</f>
        <v>2.4958461436076238</v>
      </c>
      <c r="G9" s="24">
        <f>('Operating Model'!G7*G$5-'Debt Schedule'!G31)/(('Sources &amp; Uses'!$B$3*$B9*(1+Assumptions!$B$9)+'Sources &amp; Uses'!$B$15*Assumptions!$B$10)-'Sources &amp; Uses'!$B$15)</f>
        <v>2.6814447160199357</v>
      </c>
      <c r="H9" s="22"/>
    </row>
    <row r="10" spans="1:8" x14ac:dyDescent="0.2">
      <c r="A10" s="22"/>
      <c r="B10" s="23">
        <f>Assumptions!$B$7+1</f>
        <v>10</v>
      </c>
      <c r="C10" s="24">
        <f>('Operating Model'!G7*C$5-'Debt Schedule'!G31)/(('Sources &amp; Uses'!$B$3*$B10*(1+Assumptions!$B$9)+'Sources &amp; Uses'!$B$15*Assumptions!$B$10)-'Sources &amp; Uses'!$B$15)</f>
        <v>1.7101347510352594</v>
      </c>
      <c r="D10" s="24">
        <f>('Operating Model'!G7*D$5-'Debt Schedule'!G31)/(('Sources &amp; Uses'!$B$3*$B10*(1+Assumptions!$B$9)+'Sources &amp; Uses'!$B$15*Assumptions!$B$10)-'Sources &amp; Uses'!$B$15)</f>
        <v>1.8738223808711183</v>
      </c>
      <c r="E10" s="24">
        <f>('Operating Model'!G7*E$5-'Debt Schedule'!G31)/(('Sources &amp; Uses'!$B$3*$B10*(1+Assumptions!$B$9)+'Sources &amp; Uses'!$B$15*Assumptions!$B$10)-'Sources &amp; Uses'!$B$15)</f>
        <v>2.0375100107069768</v>
      </c>
      <c r="F10" s="24">
        <f>('Operating Model'!G7*F$5-'Debt Schedule'!G31)/(('Sources &amp; Uses'!$B$3*$B10*(1+Assumptions!$B$9)+'Sources &amp; Uses'!$B$15*Assumptions!$B$10)-'Sources &amp; Uses'!$B$15)</f>
        <v>2.2011976405428353</v>
      </c>
      <c r="G10" s="24">
        <f>('Operating Model'!G7*G$5-'Debt Schedule'!G31)/(('Sources &amp; Uses'!$B$3*$B10*(1+Assumptions!$B$9)+'Sources &amp; Uses'!$B$15*Assumptions!$B$10)-'Sources &amp; Uses'!$B$15)</f>
        <v>2.3648852703786938</v>
      </c>
      <c r="H10" s="22"/>
    </row>
    <row r="11" spans="1:8" x14ac:dyDescent="0.2">
      <c r="A11" s="22"/>
      <c r="B11" s="22"/>
      <c r="C11" s="22"/>
      <c r="D11" s="22"/>
      <c r="E11" s="22"/>
      <c r="F11" s="22"/>
      <c r="G11" s="22"/>
      <c r="H11" s="22"/>
    </row>
    <row r="12" spans="1:8" x14ac:dyDescent="0.2">
      <c r="A12" s="22"/>
      <c r="B12" s="22"/>
      <c r="C12" s="22"/>
      <c r="D12" s="22"/>
      <c r="E12" s="22"/>
      <c r="F12" s="22"/>
      <c r="G12" s="22"/>
      <c r="H12" s="22"/>
    </row>
    <row r="13" spans="1:8" x14ac:dyDescent="0.2">
      <c r="A13" s="25" t="s">
        <v>99</v>
      </c>
      <c r="B13" s="26"/>
      <c r="C13" s="26"/>
      <c r="D13" s="26"/>
      <c r="E13" s="26"/>
      <c r="F13" s="26"/>
      <c r="G13" s="26"/>
      <c r="H13" s="26"/>
    </row>
    <row r="14" spans="1:8" x14ac:dyDescent="0.2">
      <c r="A14" s="22"/>
      <c r="B14" s="27" t="s">
        <v>90</v>
      </c>
      <c r="C14" s="23">
        <f>Assumptions!$B$8-1</f>
        <v>8</v>
      </c>
      <c r="D14" s="23">
        <f>Assumptions!$B$8-0.5</f>
        <v>8.5</v>
      </c>
      <c r="E14" s="23">
        <f>Assumptions!$B$8</f>
        <v>9</v>
      </c>
      <c r="F14" s="23">
        <f>Assumptions!$B$8+0.5</f>
        <v>9.5</v>
      </c>
      <c r="G14" s="23">
        <f>Assumptions!$B$8+1</f>
        <v>10</v>
      </c>
      <c r="H14" s="22"/>
    </row>
    <row r="15" spans="1:8" x14ac:dyDescent="0.2">
      <c r="A15" s="22"/>
      <c r="B15" s="23">
        <f>Assumptions!$B$7-1</f>
        <v>8</v>
      </c>
      <c r="C15" s="28">
        <f>(C6)^(1/Assumptions!$B$6)-1</f>
        <v>0.26507375609711259</v>
      </c>
      <c r="D15" s="28">
        <f>(D6)^(1/Assumptions!$B$6)-1</f>
        <v>0.28841408627984344</v>
      </c>
      <c r="E15" s="28">
        <f>(E6)^(1/Assumptions!$B$6)-1</f>
        <v>0.31017627303335438</v>
      </c>
      <c r="F15" s="28">
        <f>(F6)^(1/Assumptions!$B$6)-1</f>
        <v>0.33058182731314245</v>
      </c>
      <c r="G15" s="28">
        <f>(G6)^(1/Assumptions!$B$6)-1</f>
        <v>0.34980737045541366</v>
      </c>
      <c r="H15" s="22"/>
    </row>
    <row r="16" spans="1:8" x14ac:dyDescent="0.2">
      <c r="A16" s="22"/>
      <c r="B16" s="23">
        <f>Assumptions!$B$7-0.5</f>
        <v>8.5</v>
      </c>
      <c r="C16" s="28">
        <f>(C7)^(1/Assumptions!$B$6)-1</f>
        <v>0.21501593887429582</v>
      </c>
      <c r="D16" s="28">
        <f>(D7)^(1/Assumptions!$B$6)-1</f>
        <v>0.23743271343303518</v>
      </c>
      <c r="E16" s="28">
        <f>(E7)^(1/Assumptions!$B$6)-1</f>
        <v>0.25833379026182768</v>
      </c>
      <c r="F16" s="28">
        <f>(F7)^(1/Assumptions!$B$6)-1</f>
        <v>0.27793191532925188</v>
      </c>
      <c r="G16" s="28">
        <f>(G7)^(1/Assumptions!$B$6)-1</f>
        <v>0.29639672122597749</v>
      </c>
      <c r="H16" s="22"/>
    </row>
    <row r="17" spans="1:8" x14ac:dyDescent="0.2">
      <c r="A17" s="22"/>
      <c r="B17" s="23">
        <f>Assumptions!$B$7</f>
        <v>9</v>
      </c>
      <c r="C17" s="28">
        <f>(C8)^(1/Assumptions!$B$6)-1</f>
        <v>0.17489763023179505</v>
      </c>
      <c r="D17" s="28">
        <f>(D8)^(1/Assumptions!$B$6)-1</f>
        <v>0.1965742308950793</v>
      </c>
      <c r="E17" s="28">
        <f>(E8)^(1/Assumptions!$B$6)-1</f>
        <v>0.21678518027422267</v>
      </c>
      <c r="F17" s="28">
        <f>(F8)^(1/Assumptions!$B$6)-1</f>
        <v>0.23573619973165982</v>
      </c>
      <c r="G17" s="28">
        <f>(G8)^(1/Assumptions!$B$6)-1</f>
        <v>0.25359132080180191</v>
      </c>
      <c r="H17" s="22"/>
    </row>
    <row r="18" spans="1:8" x14ac:dyDescent="0.2">
      <c r="A18" s="22"/>
      <c r="B18" s="23">
        <f>Assumptions!$B$7+0.5</f>
        <v>9.5</v>
      </c>
      <c r="C18" s="28">
        <f>(C9)^(1/Assumptions!$B$6)-1</f>
        <v>0.14161014804711547</v>
      </c>
      <c r="D18" s="28">
        <f>(D9)^(1/Assumptions!$B$6)-1</f>
        <v>0.16267260204788481</v>
      </c>
      <c r="E18" s="28">
        <f>(E9)^(1/Assumptions!$B$6)-1</f>
        <v>0.18231092994913745</v>
      </c>
      <c r="F18" s="28">
        <f>(F9)^(1/Assumptions!$B$6)-1</f>
        <v>0.20072502456619801</v>
      </c>
      <c r="G18" s="28">
        <f>(G9)^(1/Assumptions!$B$6)-1</f>
        <v>0.21807427005260083</v>
      </c>
      <c r="H18" s="22"/>
    </row>
    <row r="19" spans="1:8" x14ac:dyDescent="0.2">
      <c r="A19" s="22"/>
      <c r="B19" s="23">
        <f>Assumptions!$B$7+1</f>
        <v>10</v>
      </c>
      <c r="C19" s="28">
        <f>(C10)^(1/Assumptions!$B$6)-1</f>
        <v>0.11328425369017658</v>
      </c>
      <c r="D19" s="28">
        <f>(D10)^(1/Assumptions!$B$6)-1</f>
        <v>0.13382410122327904</v>
      </c>
      <c r="E19" s="28">
        <f>(E10)^(1/Assumptions!$B$6)-1</f>
        <v>0.15297515840218456</v>
      </c>
      <c r="F19" s="28">
        <f>(F10)^(1/Assumptions!$B$6)-1</f>
        <v>0.17093235825556974</v>
      </c>
      <c r="G19" s="28">
        <f>(G10)^(1/Assumptions!$B$6)-1</f>
        <v>0.18785113026058187</v>
      </c>
      <c r="H19" s="22"/>
    </row>
  </sheetData>
  <mergeCells count="3">
    <mergeCell ref="A4:H4"/>
    <mergeCell ref="A13:H13"/>
    <mergeCell ref="A1:H1"/>
  </mergeCells>
  <conditionalFormatting sqref="C6:G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G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Sources &amp; Uses</vt:lpstr>
      <vt:lpstr>Operating Model</vt:lpstr>
      <vt:lpstr>Free Cash Flow</vt:lpstr>
      <vt:lpstr>Debt Schedule</vt:lpstr>
      <vt:lpstr>Returns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Daniel Ding-Yu</cp:lastModifiedBy>
  <dcterms:created xsi:type="dcterms:W3CDTF">2026-07-10T03:47:27Z</dcterms:created>
  <dcterms:modified xsi:type="dcterms:W3CDTF">2026-07-10T03:55:40Z</dcterms:modified>
</cp:coreProperties>
</file>