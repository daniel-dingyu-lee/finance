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Sources &amp; Uses" sheetId="2" state="visible" r:id="rId2"/>
    <sheet name="Operating Model" sheetId="3" state="visible" r:id="rId3"/>
    <sheet name="Free Cash Flow" sheetId="4" state="visible" r:id="rId4"/>
    <sheet name="Debt Schedule" sheetId="5" state="visible" r:id="rId5"/>
    <sheet name="Retur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&quot;x&quot;"/>
    <numFmt numFmtId="165" formatCode="0.0%"/>
    <numFmt numFmtId="166" formatCode="#,##0.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808080"/>
      <sz val="9"/>
    </font>
    <font>
      <b val="1"/>
      <color rgb="001F3864"/>
      <sz val="11"/>
    </font>
    <font/>
    <font>
      <color rgb="001F4E78"/>
    </font>
    <font>
      <b val="1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6" fillId="0" borderId="0" pivotButton="0" quotePrefix="0" xfId="0"/>
    <xf numFmtId="166" fontId="6" fillId="0" borderId="1" pivotButton="0" quotePrefix="0" xfId="0"/>
    <xf numFmtId="166" fontId="0" fillId="0" borderId="1" pivotButton="0" quotePrefix="0" xfId="0"/>
    <xf numFmtId="0" fontId="6" fillId="4" borderId="0" pivotButton="0" quotePrefix="0" xfId="0"/>
    <xf numFmtId="166" fontId="6" fillId="4" borderId="1" pivotButton="0" quotePrefix="0" xfId="0"/>
    <xf numFmtId="164" fontId="0" fillId="0" borderId="1" pivotButton="0" quotePrefix="0" xfId="0"/>
    <xf numFmtId="1" fontId="6" fillId="0" borderId="1" pivotButton="0" quotePrefix="0" xfId="0"/>
    <xf numFmtId="165" fontId="0" fillId="0" borderId="1" pivotButton="0" quotePrefix="0" xfId="0"/>
    <xf numFmtId="1" fontId="0" fillId="0" borderId="1" pivotButton="0" quotePrefix="0" xfId="0"/>
    <xf numFmtId="164" fontId="6" fillId="0" borderId="1" pivotButton="0" quotePrefix="0" xfId="0"/>
    <xf numFmtId="165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LBO Model — Assumptions</t>
        </is>
      </c>
    </row>
    <row r="2">
      <c r="A2" s="2" t="inlineStr">
        <is>
          <t>Yellow cells = hardcoded inputs. Change these to drive the whole model.</t>
        </is>
      </c>
    </row>
    <row r="4">
      <c r="A4" s="3" t="inlineStr">
        <is>
          <t>Transaction</t>
        </is>
      </c>
    </row>
    <row r="5">
      <c r="A5" s="4" t="inlineStr">
        <is>
          <t>Transaction / Entry Year</t>
        </is>
      </c>
      <c r="B5" s="5" t="n">
        <v>2026</v>
      </c>
    </row>
    <row r="6">
      <c r="A6" s="4" t="inlineStr">
        <is>
          <t>Hold Period (years)</t>
        </is>
      </c>
      <c r="B6" s="5" t="n">
        <v>5</v>
      </c>
    </row>
    <row r="7">
      <c r="A7" s="4" t="inlineStr">
        <is>
          <t>Entry EV / EBITDA Multiple</t>
        </is>
      </c>
      <c r="B7" s="6" t="n">
        <v>9</v>
      </c>
    </row>
    <row r="8">
      <c r="A8" s="4" t="inlineStr">
        <is>
          <t>Exit EV / EBITDA Multiple</t>
        </is>
      </c>
      <c r="B8" s="6" t="n">
        <v>9</v>
      </c>
    </row>
    <row r="9">
      <c r="A9" s="4" t="inlineStr">
        <is>
          <t>Transaction Fees (% of EV)</t>
        </is>
      </c>
      <c r="B9" s="7" t="n">
        <v>0.02</v>
      </c>
    </row>
    <row r="10">
      <c r="A10" s="4" t="inlineStr">
        <is>
          <t>Financing Fees (% of Total Debt)</t>
        </is>
      </c>
      <c r="B10" s="7" t="n">
        <v>0.02</v>
      </c>
    </row>
    <row r="12">
      <c r="A12" s="3" t="inlineStr">
        <is>
          <t>Operating Assumptions (Entry Year, Year 0)</t>
        </is>
      </c>
    </row>
    <row r="13">
      <c r="A13" s="4" t="inlineStr">
        <is>
          <t>Entry Revenue ($mm)</t>
        </is>
      </c>
      <c r="B13" s="8" t="n">
        <v>500</v>
      </c>
    </row>
    <row r="14">
      <c r="A14" s="4" t="inlineStr">
        <is>
          <t>Revenue Growth Rate (annual)</t>
        </is>
      </c>
      <c r="B14" s="7" t="n">
        <v>0.06</v>
      </c>
    </row>
    <row r="15">
      <c r="A15" s="4" t="inlineStr">
        <is>
          <t>Entry EBITDA Margin</t>
        </is>
      </c>
      <c r="B15" s="7" t="n">
        <v>0.22</v>
      </c>
    </row>
    <row r="16">
      <c r="A16" s="4" t="inlineStr">
        <is>
          <t>EBITDA Margin Expansion (bps/yr)</t>
        </is>
      </c>
      <c r="B16" s="7" t="n">
        <v>0.0025</v>
      </c>
    </row>
    <row r="17">
      <c r="A17" s="4" t="inlineStr">
        <is>
          <t>D&amp;A (% of Revenue)</t>
        </is>
      </c>
      <c r="B17" s="7" t="n">
        <v>0.035</v>
      </c>
    </row>
    <row r="18">
      <c r="A18" s="4" t="inlineStr">
        <is>
          <t>Capex (% of Revenue)</t>
        </is>
      </c>
      <c r="B18" s="7" t="n">
        <v>0.03</v>
      </c>
    </row>
    <row r="19">
      <c r="A19" s="4" t="inlineStr">
        <is>
          <t>Change in NWC (% of Rev. Growth $)</t>
        </is>
      </c>
      <c r="B19" s="7" t="n">
        <v>0.15</v>
      </c>
    </row>
    <row r="20">
      <c r="A20" s="4" t="inlineStr">
        <is>
          <t>Tax Rate</t>
        </is>
      </c>
      <c r="B20" s="7" t="n">
        <v>0.25</v>
      </c>
    </row>
    <row r="22">
      <c r="A22" s="3" t="inlineStr">
        <is>
          <t>Financing Assumptions</t>
        </is>
      </c>
    </row>
    <row r="23">
      <c r="A23" s="4" t="inlineStr">
        <is>
          <t>Term Loan Leverage (x EBITDA)</t>
        </is>
      </c>
      <c r="B23" s="6" t="n">
        <v>4.5</v>
      </c>
    </row>
    <row r="24">
      <c r="A24" s="4" t="inlineStr">
        <is>
          <t>Term Loan Interest Rate</t>
        </is>
      </c>
      <c r="B24" s="7" t="n">
        <v>0.08500000000000001</v>
      </c>
    </row>
    <row r="25">
      <c r="A25" s="4" t="inlineStr">
        <is>
          <t>Term Loan Mandatory Amort (%/yr of orig.)</t>
        </is>
      </c>
      <c r="B25" s="7" t="n">
        <v>0.01</v>
      </c>
    </row>
    <row r="26">
      <c r="A26" s="4" t="inlineStr">
        <is>
          <t>Subordinated Notes Leverage (x EBITDA)</t>
        </is>
      </c>
      <c r="B26" s="6" t="n">
        <v>1.5</v>
      </c>
    </row>
    <row r="27">
      <c r="A27" s="4" t="inlineStr">
        <is>
          <t>Subordinated Notes Interest Rate</t>
        </is>
      </c>
      <c r="B27" s="7" t="n">
        <v>0.11</v>
      </c>
    </row>
    <row r="28">
      <c r="A28" s="4" t="inlineStr">
        <is>
          <t>Revolver Interest Rate</t>
        </is>
      </c>
      <c r="B28" s="7" t="n">
        <v>0.075</v>
      </c>
    </row>
    <row r="29">
      <c r="A29" s="4" t="inlineStr">
        <is>
          <t>Minimum Cash Balance ($mm)</t>
        </is>
      </c>
      <c r="B29" s="8" t="n">
        <v>10</v>
      </c>
    </row>
    <row r="30">
      <c r="A30" s="4" t="inlineStr">
        <is>
          <t>Cash Sweep (% of Excess FCF to Debt)</t>
        </is>
      </c>
      <c r="B30" s="7" t="n">
        <v>1</v>
      </c>
    </row>
    <row r="31">
      <c r="A31" s="4" t="inlineStr">
        <is>
          <t>Management Rollover (% of Sponsor Equity)</t>
        </is>
      </c>
      <c r="B31" s="7" t="n">
        <v>0</v>
      </c>
    </row>
  </sheetData>
  <mergeCells count="4">
    <mergeCell ref="A12:H12"/>
    <mergeCell ref="A4:H4"/>
    <mergeCell ref="A22:H2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4" customWidth="1" min="3" max="3"/>
    <col width="16" customWidth="1" min="4" max="4"/>
  </cols>
  <sheetData>
    <row r="1">
      <c r="A1" s="1" t="inlineStr">
        <is>
          <t>Sources &amp; Uses</t>
        </is>
      </c>
    </row>
    <row r="3">
      <c r="A3" s="9" t="inlineStr">
        <is>
          <t>Entry EBITDA ($mm)</t>
        </is>
      </c>
      <c r="B3" s="10">
        <f>'Assumptions'!$B$13*'Assumptions'!$B$15</f>
        <v/>
      </c>
    </row>
    <row r="5">
      <c r="A5" s="3" t="inlineStr">
        <is>
          <t>Uses</t>
        </is>
      </c>
    </row>
    <row r="6">
      <c r="A6" s="4" t="inlineStr">
        <is>
          <t>Purchase Enterprise Value</t>
        </is>
      </c>
      <c r="B6" s="11">
        <f>B3*'Assumptions'!$B$7</f>
        <v/>
      </c>
    </row>
    <row r="7">
      <c r="A7" s="4" t="inlineStr">
        <is>
          <t>Transaction Fees</t>
        </is>
      </c>
      <c r="B7" s="11">
        <f>B6*'Assumptions'!$B$9</f>
        <v/>
      </c>
    </row>
    <row r="8">
      <c r="A8" s="4" t="inlineStr">
        <is>
          <t>Financing Fees</t>
        </is>
      </c>
      <c r="B8" s="11">
        <f>B15*'Assumptions'!$B$10</f>
        <v/>
      </c>
    </row>
    <row r="9">
      <c r="A9" s="12" t="inlineStr">
        <is>
          <t>Total Uses</t>
        </is>
      </c>
      <c r="B9" s="13">
        <f>SUM(B6:B8)</f>
        <v/>
      </c>
    </row>
    <row r="11">
      <c r="A11" s="3" t="inlineStr">
        <is>
          <t>Sources</t>
        </is>
      </c>
    </row>
    <row r="12">
      <c r="A12" s="4" t="inlineStr">
        <is>
          <t>Term Loan</t>
        </is>
      </c>
      <c r="B12" s="11">
        <f>B3*'Assumptions'!$B$23</f>
        <v/>
      </c>
    </row>
    <row r="13">
      <c r="A13" s="4" t="inlineStr">
        <is>
          <t>Subordinated Notes</t>
        </is>
      </c>
      <c r="B13" s="11">
        <f>B3*'Assumptions'!$B$26</f>
        <v/>
      </c>
    </row>
    <row r="14">
      <c r="A14" s="4" t="inlineStr">
        <is>
          <t>Revolver Draw at Close</t>
        </is>
      </c>
      <c r="B14" s="11" t="n">
        <v>0</v>
      </c>
    </row>
    <row r="15">
      <c r="A15" s="4" t="inlineStr">
        <is>
          <t>Total Debt</t>
        </is>
      </c>
      <c r="B15" s="11">
        <f>SUM(B12:B14)</f>
        <v/>
      </c>
    </row>
    <row r="16">
      <c r="A16" s="4" t="inlineStr">
        <is>
          <t>Management Rollover Equity</t>
        </is>
      </c>
      <c r="B16" s="11">
        <f>(B9-B15)*'Assumptions'!$B$31</f>
        <v/>
      </c>
    </row>
    <row r="17">
      <c r="A17" s="9" t="inlineStr">
        <is>
          <t>Sponsor Equity (plug)</t>
        </is>
      </c>
      <c r="B17" s="10">
        <f>B9-B15-B16</f>
        <v/>
      </c>
    </row>
    <row r="18">
      <c r="A18" s="12" t="inlineStr">
        <is>
          <t>Total Sources</t>
        </is>
      </c>
      <c r="B18" s="13">
        <f>B15+B16+B17</f>
        <v/>
      </c>
    </row>
    <row r="19">
      <c r="A19" s="4" t="inlineStr">
        <is>
          <t>Check (Sources - Uses)</t>
        </is>
      </c>
      <c r="B19" s="11">
        <f>B18-B9</f>
        <v/>
      </c>
    </row>
    <row r="21">
      <c r="A21" s="4" t="inlineStr">
        <is>
          <t>Opening Leverage (Total Debt / EBITDA)</t>
        </is>
      </c>
      <c r="B21" s="14">
        <f>B15/B3</f>
        <v/>
      </c>
    </row>
  </sheetData>
  <mergeCells count="3">
    <mergeCell ref="A11:H11"/>
    <mergeCell ref="A5:H5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Operating Model</t>
        </is>
      </c>
    </row>
    <row r="3">
      <c r="A3" s="9" t="inlineStr">
        <is>
          <t>Year</t>
        </is>
      </c>
      <c r="B3" s="15">
        <f>'Assumptions'!$B$5</f>
        <v/>
      </c>
      <c r="C3" s="15">
        <f>B3+1</f>
        <v/>
      </c>
      <c r="D3" s="15">
        <f>C3+1</f>
        <v/>
      </c>
      <c r="E3" s="15">
        <f>D3+1</f>
        <v/>
      </c>
      <c r="F3" s="15">
        <f>E3+1</f>
        <v/>
      </c>
      <c r="G3" s="15">
        <f>F3+1</f>
        <v/>
      </c>
    </row>
    <row r="4">
      <c r="A4" s="9" t="inlineStr">
        <is>
          <t>Revenue</t>
        </is>
      </c>
      <c r="B4" s="10">
        <f>'Assumptions'!$B$13</f>
        <v/>
      </c>
      <c r="C4" s="10">
        <f>B4*(1+'Assumptions'!$B$14)</f>
        <v/>
      </c>
      <c r="D4" s="10">
        <f>C4*(1+'Assumptions'!$B$14)</f>
        <v/>
      </c>
      <c r="E4" s="10">
        <f>D4*(1+'Assumptions'!$B$14)</f>
        <v/>
      </c>
      <c r="F4" s="10">
        <f>E4*(1+'Assumptions'!$B$14)</f>
        <v/>
      </c>
      <c r="G4" s="10">
        <f>F4*(1+'Assumptions'!$B$14)</f>
        <v/>
      </c>
    </row>
    <row r="5">
      <c r="A5" s="4" t="inlineStr">
        <is>
          <t xml:space="preserve">  % growth</t>
        </is>
      </c>
      <c r="B5" s="16" t="inlineStr"/>
      <c r="C5" s="16">
        <f>C4/B4-1</f>
        <v/>
      </c>
      <c r="D5" s="16">
        <f>D4/C4-1</f>
        <v/>
      </c>
      <c r="E5" s="16">
        <f>E4/D4-1</f>
        <v/>
      </c>
      <c r="F5" s="16">
        <f>F4/E4-1</f>
        <v/>
      </c>
      <c r="G5" s="16">
        <f>G4/F4-1</f>
        <v/>
      </c>
    </row>
    <row r="6">
      <c r="A6" s="4" t="inlineStr">
        <is>
          <t>EBITDA Margin</t>
        </is>
      </c>
      <c r="B6" s="16">
        <f>'Assumptions'!$B$15</f>
        <v/>
      </c>
      <c r="C6" s="16">
        <f>B6+'Assumptions'!$B$16</f>
        <v/>
      </c>
      <c r="D6" s="16">
        <f>C6+'Assumptions'!$B$16</f>
        <v/>
      </c>
      <c r="E6" s="16">
        <f>D6+'Assumptions'!$B$16</f>
        <v/>
      </c>
      <c r="F6" s="16">
        <f>E6+'Assumptions'!$B$16</f>
        <v/>
      </c>
      <c r="G6" s="16">
        <f>F6+'Assumptions'!$B$16</f>
        <v/>
      </c>
    </row>
    <row r="7">
      <c r="A7" s="9" t="inlineStr">
        <is>
          <t>EBITDA</t>
        </is>
      </c>
      <c r="B7" s="10">
        <f>B4*B6</f>
        <v/>
      </c>
      <c r="C7" s="10">
        <f>C4*C6</f>
        <v/>
      </c>
      <c r="D7" s="10">
        <f>D4*D6</f>
        <v/>
      </c>
      <c r="E7" s="10">
        <f>E4*E6</f>
        <v/>
      </c>
      <c r="F7" s="10">
        <f>F4*F6</f>
        <v/>
      </c>
      <c r="G7" s="10">
        <f>G4*G6</f>
        <v/>
      </c>
    </row>
    <row r="8">
      <c r="A8" s="4" t="inlineStr">
        <is>
          <t>Less: D&amp;A</t>
        </is>
      </c>
      <c r="B8" s="11">
        <f>-B4*'Assumptions'!$B$17</f>
        <v/>
      </c>
      <c r="C8" s="11">
        <f>-C4*'Assumptions'!$B$17</f>
        <v/>
      </c>
      <c r="D8" s="11">
        <f>-D4*'Assumptions'!$B$17</f>
        <v/>
      </c>
      <c r="E8" s="11">
        <f>-E4*'Assumptions'!$B$17</f>
        <v/>
      </c>
      <c r="F8" s="11">
        <f>-F4*'Assumptions'!$B$17</f>
        <v/>
      </c>
      <c r="G8" s="11">
        <f>-G4*'Assumptions'!$B$17</f>
        <v/>
      </c>
    </row>
    <row r="9">
      <c r="A9" s="4" t="inlineStr">
        <is>
          <t>EBIT</t>
        </is>
      </c>
      <c r="B9" s="11">
        <f>B7+B8</f>
        <v/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1">
        <f>G7+G8</f>
        <v/>
      </c>
    </row>
    <row r="10">
      <c r="A10" s="4" t="inlineStr">
        <is>
          <t>Less: Cash Interest Expense, net</t>
        </is>
      </c>
      <c r="B10" s="11" t="n">
        <v>0</v>
      </c>
      <c r="C10" s="11">
        <f>-'Debt Schedule'!C28</f>
        <v/>
      </c>
      <c r="D10" s="11">
        <f>-'Debt Schedule'!D28</f>
        <v/>
      </c>
      <c r="E10" s="11">
        <f>-'Debt Schedule'!E28</f>
        <v/>
      </c>
      <c r="F10" s="11">
        <f>-'Debt Schedule'!F28</f>
        <v/>
      </c>
      <c r="G10" s="11">
        <f>-'Debt Schedule'!G28</f>
        <v/>
      </c>
    </row>
    <row r="11">
      <c r="A11" s="4" t="inlineStr">
        <is>
          <t>EBT</t>
        </is>
      </c>
      <c r="B11" s="11">
        <f>B9+B10</f>
        <v/>
      </c>
      <c r="C11" s="11">
        <f>C9+C10</f>
        <v/>
      </c>
      <c r="D11" s="11">
        <f>D9+D10</f>
        <v/>
      </c>
      <c r="E11" s="11">
        <f>E9+E10</f>
        <v/>
      </c>
      <c r="F11" s="11">
        <f>F9+F10</f>
        <v/>
      </c>
      <c r="G11" s="11">
        <f>G9+G10</f>
        <v/>
      </c>
    </row>
    <row r="12">
      <c r="A12" s="4" t="inlineStr">
        <is>
          <t>Less: Cash Taxes</t>
        </is>
      </c>
      <c r="B12" s="11">
        <f>-MAX(B11,0)*'Assumptions'!$B$20</f>
        <v/>
      </c>
      <c r="C12" s="11">
        <f>-MAX(C11,0)*'Assumptions'!$B$20</f>
        <v/>
      </c>
      <c r="D12" s="11">
        <f>-MAX(D11,0)*'Assumptions'!$B$20</f>
        <v/>
      </c>
      <c r="E12" s="11">
        <f>-MAX(E11,0)*'Assumptions'!$B$20</f>
        <v/>
      </c>
      <c r="F12" s="11">
        <f>-MAX(F11,0)*'Assumptions'!$B$20</f>
        <v/>
      </c>
      <c r="G12" s="11">
        <f>-MAX(G11,0)*'Assumptions'!$B$20</f>
        <v/>
      </c>
    </row>
    <row r="13">
      <c r="A13" s="9" t="inlineStr">
        <is>
          <t>Net Income</t>
        </is>
      </c>
      <c r="B13" s="10">
        <f>B11+B12</f>
        <v/>
      </c>
      <c r="C13" s="10">
        <f>C11+C12</f>
        <v/>
      </c>
      <c r="D13" s="10">
        <f>D11+D12</f>
        <v/>
      </c>
      <c r="E13" s="10">
        <f>E11+E12</f>
        <v/>
      </c>
      <c r="F13" s="10">
        <f>F11+F12</f>
        <v/>
      </c>
      <c r="G13" s="10">
        <f>G11+G12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Free Cash Flow</t>
        </is>
      </c>
    </row>
    <row r="3">
      <c r="A3" s="9" t="inlineStr">
        <is>
          <t>Year</t>
        </is>
      </c>
      <c r="B3" s="15">
        <f>'Operating Model'!B3</f>
        <v/>
      </c>
      <c r="C3" s="15">
        <f>'Operating Model'!C3</f>
        <v/>
      </c>
      <c r="D3" s="15">
        <f>'Operating Model'!D3</f>
        <v/>
      </c>
      <c r="E3" s="15">
        <f>'Operating Model'!E3</f>
        <v/>
      </c>
      <c r="F3" s="15">
        <f>'Operating Model'!F3</f>
        <v/>
      </c>
      <c r="G3" s="15">
        <f>'Operating Model'!G3</f>
        <v/>
      </c>
    </row>
    <row r="4">
      <c r="A4" s="4" t="inlineStr">
        <is>
          <t>Net Income</t>
        </is>
      </c>
      <c r="B4" s="11" t="n">
        <v>0</v>
      </c>
      <c r="C4" s="11">
        <f>'Operating Model'!C13</f>
        <v/>
      </c>
      <c r="D4" s="11">
        <f>'Operating Model'!D13</f>
        <v/>
      </c>
      <c r="E4" s="11">
        <f>'Operating Model'!E13</f>
        <v/>
      </c>
      <c r="F4" s="11">
        <f>'Operating Model'!F13</f>
        <v/>
      </c>
      <c r="G4" s="11">
        <f>'Operating Model'!G13</f>
        <v/>
      </c>
    </row>
    <row r="5">
      <c r="A5" s="4" t="inlineStr">
        <is>
          <t>Plus: D&amp;A</t>
        </is>
      </c>
      <c r="B5" s="11" t="n">
        <v>0</v>
      </c>
      <c r="C5" s="11">
        <f>-'Operating Model'!C8</f>
        <v/>
      </c>
      <c r="D5" s="11">
        <f>-'Operating Model'!D8</f>
        <v/>
      </c>
      <c r="E5" s="11">
        <f>-'Operating Model'!E8</f>
        <v/>
      </c>
      <c r="F5" s="11">
        <f>-'Operating Model'!F8</f>
        <v/>
      </c>
      <c r="G5" s="11">
        <f>-'Operating Model'!G8</f>
        <v/>
      </c>
    </row>
    <row r="6">
      <c r="A6" s="4" t="inlineStr">
        <is>
          <t>Less: Capex</t>
        </is>
      </c>
      <c r="B6" s="11" t="n">
        <v>0</v>
      </c>
      <c r="C6" s="11">
        <f>-'Operating Model'!C4*'Assumptions'!$B$18</f>
        <v/>
      </c>
      <c r="D6" s="11">
        <f>-'Operating Model'!D4*'Assumptions'!$B$18</f>
        <v/>
      </c>
      <c r="E6" s="11">
        <f>-'Operating Model'!E4*'Assumptions'!$B$18</f>
        <v/>
      </c>
      <c r="F6" s="11">
        <f>-'Operating Model'!F4*'Assumptions'!$B$18</f>
        <v/>
      </c>
      <c r="G6" s="11">
        <f>-'Operating Model'!G4*'Assumptions'!$B$18</f>
        <v/>
      </c>
    </row>
    <row r="7">
      <c r="A7" s="4" t="inlineStr">
        <is>
          <t>Less: Increase in NWC</t>
        </is>
      </c>
      <c r="B7" s="11" t="n">
        <v>0</v>
      </c>
      <c r="C7" s="11">
        <f>-('Operating Model'!C4-'Operating Model'!B4)*'Assumptions'!$B$19</f>
        <v/>
      </c>
      <c r="D7" s="11">
        <f>-('Operating Model'!D4-'Operating Model'!C4)*'Assumptions'!$B$19</f>
        <v/>
      </c>
      <c r="E7" s="11">
        <f>-('Operating Model'!E4-'Operating Model'!D4)*'Assumptions'!$B$19</f>
        <v/>
      </c>
      <c r="F7" s="11">
        <f>-('Operating Model'!F4-'Operating Model'!E4)*'Assumptions'!$B$19</f>
        <v/>
      </c>
      <c r="G7" s="11">
        <f>-('Operating Model'!G4-'Operating Model'!F4)*'Assumptions'!$B$19</f>
        <v/>
      </c>
    </row>
    <row r="8">
      <c r="A8" s="9" t="inlineStr">
        <is>
          <t>Cash Flow Available for Debt Service (CFADS)</t>
        </is>
      </c>
      <c r="B8" s="10">
        <f>B4+B5+B6+B7</f>
        <v/>
      </c>
      <c r="C8" s="10">
        <f>C4+C5+C6+C7</f>
        <v/>
      </c>
      <c r="D8" s="10">
        <f>D4+D5+D6+D7</f>
        <v/>
      </c>
      <c r="E8" s="10">
        <f>E4+E5+E6+E7</f>
        <v/>
      </c>
      <c r="F8" s="10">
        <f>F4+F5+F6+F7</f>
        <v/>
      </c>
      <c r="G8" s="10">
        <f>G4+G5+G6+G7</f>
        <v/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Debt Schedule</t>
        </is>
      </c>
    </row>
    <row r="3">
      <c r="A3" s="9" t="inlineStr">
        <is>
          <t>Year</t>
        </is>
      </c>
      <c r="B3" s="15">
        <f>'Operating Model'!B3</f>
        <v/>
      </c>
      <c r="C3" s="15">
        <f>'Operating Model'!C3</f>
        <v/>
      </c>
      <c r="D3" s="15">
        <f>'Operating Model'!D3</f>
        <v/>
      </c>
      <c r="E3" s="15">
        <f>'Operating Model'!E3</f>
        <v/>
      </c>
      <c r="F3" s="15">
        <f>'Operating Model'!F3</f>
        <v/>
      </c>
      <c r="G3" s="15">
        <f>'Operating Model'!G3</f>
        <v/>
      </c>
    </row>
    <row r="5">
      <c r="A5" s="4" t="inlineStr">
        <is>
          <t>CFADS (from FCF tab)</t>
        </is>
      </c>
      <c r="B5" s="11" t="n">
        <v>0</v>
      </c>
      <c r="C5" s="11">
        <f>'Free Cash Flow'!C8</f>
        <v/>
      </c>
      <c r="D5" s="11">
        <f>'Free Cash Flow'!D8</f>
        <v/>
      </c>
      <c r="E5" s="11">
        <f>'Free Cash Flow'!E8</f>
        <v/>
      </c>
      <c r="F5" s="11">
        <f>'Free Cash Flow'!F8</f>
        <v/>
      </c>
      <c r="G5" s="11">
        <f>'Free Cash Flow'!G8</f>
        <v/>
      </c>
    </row>
    <row r="6">
      <c r="A6" s="4" t="inlineStr">
        <is>
          <t>Less: Mandatory Term Loan Amort.</t>
        </is>
      </c>
      <c r="B6" s="11" t="n">
        <v>0</v>
      </c>
      <c r="C6" s="11">
        <f>C11</f>
        <v/>
      </c>
      <c r="D6" s="11">
        <f>D11</f>
        <v/>
      </c>
      <c r="E6" s="11">
        <f>E11</f>
        <v/>
      </c>
      <c r="F6" s="11">
        <f>F11</f>
        <v/>
      </c>
      <c r="G6" s="11">
        <f>G11</f>
        <v/>
      </c>
    </row>
    <row r="7">
      <c r="A7" s="4" t="inlineStr">
        <is>
          <t>Cash Flow Available for Optional Sweep</t>
        </is>
      </c>
      <c r="B7" s="11" t="n">
        <v>0</v>
      </c>
      <c r="C7" s="11">
        <f>MAX(C5+C6,0)*'Assumptions'!$B$30</f>
        <v/>
      </c>
      <c r="D7" s="11">
        <f>MAX(D5+D6,0)*'Assumptions'!$B$30</f>
        <v/>
      </c>
      <c r="E7" s="11">
        <f>MAX(E5+E6,0)*'Assumptions'!$B$30</f>
        <v/>
      </c>
      <c r="F7" s="11">
        <f>MAX(F5+F6,0)*'Assumptions'!$B$30</f>
        <v/>
      </c>
      <c r="G7" s="11">
        <f>MAX(G5+G6,0)*'Assumptions'!$B$30</f>
        <v/>
      </c>
    </row>
    <row r="9">
      <c r="A9" s="3" t="inlineStr">
        <is>
          <t>Term Loan</t>
        </is>
      </c>
    </row>
    <row r="10">
      <c r="A10" s="4" t="inlineStr">
        <is>
          <t>Beginning Balance</t>
        </is>
      </c>
      <c r="B10" s="11" t="n">
        <v>0</v>
      </c>
      <c r="C10" s="11">
        <f>B13</f>
        <v/>
      </c>
      <c r="D10" s="11">
        <f>C13</f>
        <v/>
      </c>
      <c r="E10" s="11">
        <f>D13</f>
        <v/>
      </c>
      <c r="F10" s="11">
        <f>E13</f>
        <v/>
      </c>
      <c r="G10" s="11">
        <f>F13</f>
        <v/>
      </c>
    </row>
    <row r="11">
      <c r="A11" s="4" t="inlineStr">
        <is>
          <t>Mandatory Amortization</t>
        </is>
      </c>
      <c r="B11" s="11" t="n">
        <v>0</v>
      </c>
      <c r="C11" s="11">
        <f>-MIN('Sources &amp; Uses'!$B$12*'Assumptions'!$B$25,C10)</f>
        <v/>
      </c>
      <c r="D11" s="11">
        <f>-MIN('Sources &amp; Uses'!$B$12*'Assumptions'!$B$25,D10)</f>
        <v/>
      </c>
      <c r="E11" s="11">
        <f>-MIN('Sources &amp; Uses'!$B$12*'Assumptions'!$B$25,E10)</f>
        <v/>
      </c>
      <c r="F11" s="11">
        <f>-MIN('Sources &amp; Uses'!$B$12*'Assumptions'!$B$25,F10)</f>
        <v/>
      </c>
      <c r="G11" s="11">
        <f>-MIN('Sources &amp; Uses'!$B$12*'Assumptions'!$B$25,G10)</f>
        <v/>
      </c>
    </row>
    <row r="12">
      <c r="A12" s="4" t="inlineStr">
        <is>
          <t>Optional Sweep</t>
        </is>
      </c>
      <c r="B12" s="11" t="n">
        <v>0</v>
      </c>
      <c r="C12" s="11">
        <f>-MIN(MAX(C7,0),C10+C11)</f>
        <v/>
      </c>
      <c r="D12" s="11">
        <f>-MIN(MAX(D7,0),D10+D11)</f>
        <v/>
      </c>
      <c r="E12" s="11">
        <f>-MIN(MAX(E7,0),E10+E11)</f>
        <v/>
      </c>
      <c r="F12" s="11">
        <f>-MIN(MAX(F7,0),F10+F11)</f>
        <v/>
      </c>
      <c r="G12" s="11">
        <f>-MIN(MAX(G7,0),G10+G11)</f>
        <v/>
      </c>
    </row>
    <row r="13">
      <c r="A13" s="9" t="inlineStr">
        <is>
          <t>Ending Balance</t>
        </is>
      </c>
      <c r="B13" s="10">
        <f>'Sources &amp; Uses'!$B$12</f>
        <v/>
      </c>
      <c r="C13" s="10">
        <f>C10+C11+C12</f>
        <v/>
      </c>
      <c r="D13" s="10">
        <f>D10+D11+D12</f>
        <v/>
      </c>
      <c r="E13" s="10">
        <f>E10+E11+E12</f>
        <v/>
      </c>
      <c r="F13" s="10">
        <f>F10+F11+F12</f>
        <v/>
      </c>
      <c r="G13" s="10">
        <f>G10+G11+G12</f>
        <v/>
      </c>
    </row>
    <row r="14">
      <c r="A14" s="4" t="inlineStr">
        <is>
          <t>Interest Expense (on beg. balance)</t>
        </is>
      </c>
      <c r="B14" s="11" t="n">
        <v>0</v>
      </c>
      <c r="C14" s="11">
        <f>C10*'Assumptions'!$B$24</f>
        <v/>
      </c>
      <c r="D14" s="11">
        <f>D10*'Assumptions'!$B$24</f>
        <v/>
      </c>
      <c r="E14" s="11">
        <f>E10*'Assumptions'!$B$24</f>
        <v/>
      </c>
      <c r="F14" s="11">
        <f>F10*'Assumptions'!$B$24</f>
        <v/>
      </c>
      <c r="G14" s="11">
        <f>G10*'Assumptions'!$B$24</f>
        <v/>
      </c>
    </row>
    <row r="16">
      <c r="A16" s="3" t="inlineStr">
        <is>
          <t>Subordinated Notes</t>
        </is>
      </c>
    </row>
    <row r="17">
      <c r="A17" s="4" t="inlineStr">
        <is>
          <t>Beginning Balance</t>
        </is>
      </c>
      <c r="B17" s="11" t="n">
        <v>0</v>
      </c>
      <c r="C17" s="11">
        <f>B19</f>
        <v/>
      </c>
      <c r="D17" s="11">
        <f>C19</f>
        <v/>
      </c>
      <c r="E17" s="11">
        <f>D19</f>
        <v/>
      </c>
      <c r="F17" s="11">
        <f>E19</f>
        <v/>
      </c>
      <c r="G17" s="11">
        <f>F19</f>
        <v/>
      </c>
    </row>
    <row r="18">
      <c r="A18" s="4" t="inlineStr">
        <is>
          <t>Optional Sweep (after Term Loan repaid)</t>
        </is>
      </c>
      <c r="B18" s="11" t="n">
        <v>0</v>
      </c>
      <c r="C18" s="11">
        <f>-MIN(MAX(C7+C12,0),C17)</f>
        <v/>
      </c>
      <c r="D18" s="11">
        <f>-MIN(MAX(D7+D12,0),D17)</f>
        <v/>
      </c>
      <c r="E18" s="11">
        <f>-MIN(MAX(E7+E12,0),E17)</f>
        <v/>
      </c>
      <c r="F18" s="11">
        <f>-MIN(MAX(F7+F12,0),F17)</f>
        <v/>
      </c>
      <c r="G18" s="11">
        <f>-MIN(MAX(G7+G12,0),G17)</f>
        <v/>
      </c>
    </row>
    <row r="19">
      <c r="A19" s="9" t="inlineStr">
        <is>
          <t>Ending Balance</t>
        </is>
      </c>
      <c r="B19" s="10">
        <f>'Sources &amp; Uses'!$B$13</f>
        <v/>
      </c>
      <c r="C19" s="10">
        <f>C17+C18</f>
        <v/>
      </c>
      <c r="D19" s="10">
        <f>D17+D18</f>
        <v/>
      </c>
      <c r="E19" s="10">
        <f>E17+E18</f>
        <v/>
      </c>
      <c r="F19" s="10">
        <f>F17+F18</f>
        <v/>
      </c>
      <c r="G19" s="10">
        <f>G17+G18</f>
        <v/>
      </c>
    </row>
    <row r="20">
      <c r="A20" s="4" t="inlineStr">
        <is>
          <t>Interest Expense (on beg. balance)</t>
        </is>
      </c>
      <c r="B20" s="11" t="n">
        <v>0</v>
      </c>
      <c r="C20" s="11">
        <f>C17*'Assumptions'!$B$27</f>
        <v/>
      </c>
      <c r="D20" s="11">
        <f>D17*'Assumptions'!$B$27</f>
        <v/>
      </c>
      <c r="E20" s="11">
        <f>E17*'Assumptions'!$B$27</f>
        <v/>
      </c>
      <c r="F20" s="11">
        <f>F17*'Assumptions'!$B$27</f>
        <v/>
      </c>
      <c r="G20" s="11">
        <f>G17*'Assumptions'!$B$27</f>
        <v/>
      </c>
    </row>
    <row r="22">
      <c r="A22" s="3" t="inlineStr">
        <is>
          <t>Revolver</t>
        </is>
      </c>
    </row>
    <row r="23">
      <c r="A23" s="4" t="inlineStr">
        <is>
          <t>Beginning Balance</t>
        </is>
      </c>
      <c r="B23" s="11" t="n">
        <v>0</v>
      </c>
      <c r="C23" s="11">
        <f>B25</f>
        <v/>
      </c>
      <c r="D23" s="11">
        <f>C25</f>
        <v/>
      </c>
      <c r="E23" s="11">
        <f>D25</f>
        <v/>
      </c>
      <c r="F23" s="11">
        <f>E25</f>
        <v/>
      </c>
      <c r="G23" s="11">
        <f>F25</f>
        <v/>
      </c>
    </row>
    <row r="24">
      <c r="A24" s="4" t="inlineStr">
        <is>
          <t>(Draw) / Paydown</t>
        </is>
      </c>
      <c r="B24" s="11">
        <f>'Sources &amp; Uses'!$B$14</f>
        <v/>
      </c>
      <c r="C24" s="11">
        <f>-(MIN(C5+C6+C12+C18,0))</f>
        <v/>
      </c>
      <c r="D24" s="11">
        <f>-(MIN(D5+D6+D12+D18,0))</f>
        <v/>
      </c>
      <c r="E24" s="11">
        <f>-(MIN(E5+E6+E12+E18,0))</f>
        <v/>
      </c>
      <c r="F24" s="11">
        <f>-(MIN(F5+F6+F12+F18,0))</f>
        <v/>
      </c>
      <c r="G24" s="11">
        <f>-(MIN(G5+G6+G12+G18,0))</f>
        <v/>
      </c>
    </row>
    <row r="25">
      <c r="A25" s="9" t="inlineStr">
        <is>
          <t>Ending Balance</t>
        </is>
      </c>
      <c r="B25" s="10">
        <f>B23+B24</f>
        <v/>
      </c>
      <c r="C25" s="10">
        <f>MAX(C23+C24,0)</f>
        <v/>
      </c>
      <c r="D25" s="10">
        <f>MAX(D23+D24,0)</f>
        <v/>
      </c>
      <c r="E25" s="10">
        <f>MAX(E23+E24,0)</f>
        <v/>
      </c>
      <c r="F25" s="10">
        <f>MAX(F23+F24,0)</f>
        <v/>
      </c>
      <c r="G25" s="10">
        <f>MAX(G23+G24,0)</f>
        <v/>
      </c>
    </row>
    <row r="26">
      <c r="A26" s="4" t="inlineStr">
        <is>
          <t>Interest Expense (on beg. balance)</t>
        </is>
      </c>
      <c r="B26" s="11" t="n">
        <v>0</v>
      </c>
      <c r="C26" s="11">
        <f>C23*'Assumptions'!$B$28</f>
        <v/>
      </c>
      <c r="D26" s="11">
        <f>D23*'Assumptions'!$B$28</f>
        <v/>
      </c>
      <c r="E26" s="11">
        <f>E23*'Assumptions'!$B$28</f>
        <v/>
      </c>
      <c r="F26" s="11">
        <f>F23*'Assumptions'!$B$28</f>
        <v/>
      </c>
      <c r="G26" s="11">
        <f>G23*'Assumptions'!$B$28</f>
        <v/>
      </c>
    </row>
    <row r="28">
      <c r="A28" s="12" t="inlineStr">
        <is>
          <t>Total Interest Expense</t>
        </is>
      </c>
      <c r="B28" s="13">
        <f>B14+B20+B26</f>
        <v/>
      </c>
      <c r="C28" s="13">
        <f>C14+C20+C26</f>
        <v/>
      </c>
      <c r="D28" s="13">
        <f>D14+D20+D26</f>
        <v/>
      </c>
      <c r="E28" s="13">
        <f>E14+E20+E26</f>
        <v/>
      </c>
      <c r="F28" s="13">
        <f>F14+F20+F26</f>
        <v/>
      </c>
      <c r="G28" s="13">
        <f>G14+G20+G26</f>
        <v/>
      </c>
    </row>
    <row r="29">
      <c r="A29" s="12" t="inlineStr">
        <is>
          <t>Total Debt (Ending)</t>
        </is>
      </c>
      <c r="B29" s="13">
        <f>B13+B19+B25</f>
        <v/>
      </c>
      <c r="C29" s="13">
        <f>C13+C19+C25</f>
        <v/>
      </c>
      <c r="D29" s="13">
        <f>D13+D19+D25</f>
        <v/>
      </c>
      <c r="E29" s="13">
        <f>E13+E19+E25</f>
        <v/>
      </c>
      <c r="F29" s="13">
        <f>F13+F19+F25</f>
        <v/>
      </c>
      <c r="G29" s="13">
        <f>G13+G19+G25</f>
        <v/>
      </c>
    </row>
    <row r="30">
      <c r="A30" s="4" t="inlineStr">
        <is>
          <t>Cash Balance</t>
        </is>
      </c>
      <c r="B30" s="11">
        <f>'Assumptions'!$B$29</f>
        <v/>
      </c>
      <c r="C30" s="11">
        <f>B30+MAX(C5+C6+C12+C18,0)*(1-'Assumptions'!$B$30)</f>
        <v/>
      </c>
      <c r="D30" s="11">
        <f>C30+MAX(D5+D6+D12+D18,0)*(1-'Assumptions'!$B$30)</f>
        <v/>
      </c>
      <c r="E30" s="11">
        <f>D30+MAX(E5+E6+E12+E18,0)*(1-'Assumptions'!$B$30)</f>
        <v/>
      </c>
      <c r="F30" s="11">
        <f>E30+MAX(F5+F6+F12+F18,0)*(1-'Assumptions'!$B$30)</f>
        <v/>
      </c>
      <c r="G30" s="11">
        <f>F30+MAX(G5+G6+G12+G18,0)*(1-'Assumptions'!$B$30)</f>
        <v/>
      </c>
    </row>
    <row r="31">
      <c r="A31" s="12" t="inlineStr">
        <is>
          <t>Net Debt</t>
        </is>
      </c>
      <c r="B31" s="13">
        <f>B29-B30</f>
        <v/>
      </c>
      <c r="C31" s="13">
        <f>C29-C30</f>
        <v/>
      </c>
      <c r="D31" s="13">
        <f>D29-D30</f>
        <v/>
      </c>
      <c r="E31" s="13">
        <f>E29-E30</f>
        <v/>
      </c>
      <c r="F31" s="13">
        <f>F29-F30</f>
        <v/>
      </c>
      <c r="G31" s="13">
        <f>G29-G30</f>
        <v/>
      </c>
    </row>
    <row r="32">
      <c r="A32" s="4" t="inlineStr">
        <is>
          <t>Leverage (Net Debt / EBITDA)</t>
        </is>
      </c>
      <c r="B32" s="14">
        <f>B31/'Operating Model'!B7</f>
        <v/>
      </c>
      <c r="C32" s="14">
        <f>C31/'Operating Model'!C7</f>
        <v/>
      </c>
      <c r="D32" s="14">
        <f>D31/'Operating Model'!D7</f>
        <v/>
      </c>
      <c r="E32" s="14">
        <f>E31/'Operating Model'!E7</f>
        <v/>
      </c>
      <c r="F32" s="14">
        <f>F31/'Operating Model'!F7</f>
        <v/>
      </c>
      <c r="G32" s="14">
        <f>G31/'Operating Model'!G7</f>
        <v/>
      </c>
    </row>
  </sheetData>
  <mergeCells count="4">
    <mergeCell ref="A9:H9"/>
    <mergeCell ref="A16:H16"/>
    <mergeCell ref="A22:H2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</cols>
  <sheetData>
    <row r="1">
      <c r="A1" s="1" t="inlineStr">
        <is>
          <t>Returns Analysis</t>
        </is>
      </c>
    </row>
    <row r="3">
      <c r="A3" s="9" t="inlineStr">
        <is>
          <t>Exit Year</t>
        </is>
      </c>
      <c r="B3" s="15">
        <f>'Operating Model'!G3</f>
        <v/>
      </c>
    </row>
    <row r="4">
      <c r="A4" s="4" t="inlineStr">
        <is>
          <t>Exit EBITDA</t>
        </is>
      </c>
      <c r="B4" s="11">
        <f>'Operating Model'!G7</f>
        <v/>
      </c>
    </row>
    <row r="5">
      <c r="A5" s="4" t="inlineStr">
        <is>
          <t>Exit EV/EBITDA Multiple</t>
        </is>
      </c>
      <c r="B5" s="14">
        <f>'Assumptions'!$B$8</f>
        <v/>
      </c>
    </row>
    <row r="6">
      <c r="A6" s="9" t="inlineStr">
        <is>
          <t>Exit Enterprise Value</t>
        </is>
      </c>
      <c r="B6" s="10">
        <f>B4*'Assumptions'!$B$8</f>
        <v/>
      </c>
    </row>
    <row r="7">
      <c r="A7" s="4" t="inlineStr">
        <is>
          <t>Less: Net Debt at Exit</t>
        </is>
      </c>
      <c r="B7" s="11">
        <f>-'Debt Schedule'!G31</f>
        <v/>
      </c>
    </row>
    <row r="8">
      <c r="A8" s="12" t="inlineStr">
        <is>
          <t>Exit Equity Value</t>
        </is>
      </c>
      <c r="B8" s="13">
        <f>B6+B7</f>
        <v/>
      </c>
    </row>
    <row r="10">
      <c r="A10" s="3" t="inlineStr">
        <is>
          <t>Sponsor Returns</t>
        </is>
      </c>
    </row>
    <row r="11">
      <c r="A11" s="4" t="inlineStr">
        <is>
          <t>Initial Sponsor Equity</t>
        </is>
      </c>
      <c r="B11" s="11">
        <f>'Sources &amp; Uses'!$B$17</f>
        <v/>
      </c>
    </row>
    <row r="12">
      <c r="A12" s="4" t="inlineStr">
        <is>
          <t>Exit Sponsor Equity Proceeds</t>
        </is>
      </c>
      <c r="B12" s="11">
        <f>B8*(1-'Assumptions'!$B$31)</f>
        <v/>
      </c>
    </row>
    <row r="13">
      <c r="A13" s="4" t="inlineStr">
        <is>
          <t>Hold Period (years)</t>
        </is>
      </c>
      <c r="B13" s="17">
        <f>'Assumptions'!$B$6</f>
        <v/>
      </c>
    </row>
    <row r="14">
      <c r="A14" s="9" t="inlineStr">
        <is>
          <t>MOIC</t>
        </is>
      </c>
      <c r="B14" s="18">
        <f>B12/B11</f>
        <v/>
      </c>
    </row>
    <row r="15">
      <c r="A15" s="12" t="inlineStr">
        <is>
          <t>IRR</t>
        </is>
      </c>
      <c r="B15" s="19">
        <f>(B14)^(1/B13)-1</f>
        <v/>
      </c>
    </row>
    <row r="17">
      <c r="A17" s="3" t="inlineStr">
        <is>
          <t>Cash Flow Check (for XIRR)</t>
        </is>
      </c>
    </row>
    <row r="18">
      <c r="A18" s="4" t="inlineStr">
        <is>
          <t>Year 0 (Equity Out)</t>
        </is>
      </c>
      <c r="B18" s="11">
        <f>-B11</f>
        <v/>
      </c>
    </row>
    <row r="19">
      <c r="A19" s="4" t="inlineStr">
        <is>
          <t>Years 1-4</t>
        </is>
      </c>
      <c r="B19" s="11" t="n">
        <v>0</v>
      </c>
    </row>
    <row r="20">
      <c r="A20" s="4" t="inlineStr">
        <is>
          <t>Exit Year (Equity In)</t>
        </is>
      </c>
      <c r="B20" s="11">
        <f>B12</f>
        <v/>
      </c>
    </row>
    <row r="22">
      <c r="A22" s="2" t="inlineStr">
        <is>
          <t>Note: exit assumed at end of Year 5 (col G). Change FORECAST_YEARS in the script if you want a different hold length.</t>
        </is>
      </c>
    </row>
  </sheetData>
  <mergeCells count="4">
    <mergeCell ref="A22:F22"/>
    <mergeCell ref="A10:H10"/>
    <mergeCell ref="A17:H17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2026-07-10T03:36:55Z</dcterms:created>
  <dcterms:modified xsi:type="dcterms:W3CDTF">2026-07-10T03:36:55Z</dcterms:modified>
</cp:coreProperties>
</file>